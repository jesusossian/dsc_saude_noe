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Windows\Desktop\Tese - Distribuicao\"/>
    </mc:Choice>
  </mc:AlternateContent>
  <xr:revisionPtr revIDLastSave="0" documentId="13_ncr:1_{4379634F-DCE1-4E6E-9F8E-BF617C06463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Base de Dado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8" i="1" l="1"/>
  <c r="S18" i="1"/>
  <c r="F18" i="1"/>
  <c r="G18" i="1"/>
  <c r="H18" i="1"/>
  <c r="P18" i="1"/>
  <c r="Q18" i="1"/>
  <c r="L18" i="1"/>
  <c r="M18" i="1"/>
  <c r="N18" i="1"/>
  <c r="O18" i="1"/>
  <c r="D18" i="1"/>
  <c r="E18" i="1"/>
  <c r="I18" i="1"/>
  <c r="J18" i="1"/>
  <c r="K18" i="1"/>
  <c r="T18" i="1"/>
  <c r="C18" i="1"/>
</calcChain>
</file>

<file path=xl/sharedStrings.xml><?xml version="1.0" encoding="utf-8"?>
<sst xmlns="http://schemas.openxmlformats.org/spreadsheetml/2006/main" count="35" uniqueCount="35">
  <si>
    <t>Maputo Cidade</t>
  </si>
  <si>
    <t xml:space="preserve">Maputo Provincia </t>
  </si>
  <si>
    <t>Depositos Provinciais (DPM)</t>
  </si>
  <si>
    <t xml:space="preserve">Gaza </t>
  </si>
  <si>
    <t xml:space="preserve">Inhambane </t>
  </si>
  <si>
    <t>Zambézia</t>
  </si>
  <si>
    <t>Tete</t>
  </si>
  <si>
    <t>Manica</t>
  </si>
  <si>
    <t>Niassa</t>
  </si>
  <si>
    <t>Cabo Delgado</t>
  </si>
  <si>
    <t>Nampula</t>
  </si>
  <si>
    <t xml:space="preserve">Armazem Regional do Norte </t>
  </si>
  <si>
    <t xml:space="preserve">Armazem  Regional do  Centro </t>
  </si>
  <si>
    <t>Armazem Regional do Sul</t>
  </si>
  <si>
    <t xml:space="preserve">Sofala </t>
  </si>
  <si>
    <t xml:space="preserve">Volume (m3) por Mês </t>
  </si>
  <si>
    <t xml:space="preserve">Volume (m3) por Ano </t>
  </si>
  <si>
    <t xml:space="preserve">% da Demanda Nacional </t>
  </si>
  <si>
    <t>Total  Depositos DDMs por  provincia</t>
  </si>
  <si>
    <t>Unidades Sanitarias a 50 Km do DDM</t>
  </si>
  <si>
    <t>Grande Total</t>
  </si>
  <si>
    <t xml:space="preserve">Unidades Sanitárias  </t>
  </si>
  <si>
    <t>U.S fora de 50 km dos DDMs</t>
  </si>
  <si>
    <t xml:space="preserve">Total de Armazém  no Distrito </t>
  </si>
  <si>
    <t>Total de Centros de Saúde por Província</t>
  </si>
  <si>
    <t>Total de km por província</t>
  </si>
  <si>
    <t>Volume estimado por mês (m3)</t>
  </si>
  <si>
    <t>Total de km por mês no DDMs</t>
  </si>
  <si>
    <t>Total de km por  ano DDMs</t>
  </si>
  <si>
    <t>Custo Total Provincia  por Mês (USD)</t>
  </si>
  <si>
    <t>Custo Total Provincia  por Ano (USD)</t>
  </si>
  <si>
    <t>Custo Total DDs  por Ano (USD)</t>
  </si>
  <si>
    <t>Custo Total DDs  por Mês (USD)</t>
  </si>
  <si>
    <t>Total de Viaturas DPS</t>
  </si>
  <si>
    <r>
      <t>Armaz</t>
    </r>
    <r>
      <rPr>
        <sz val="11"/>
        <color theme="1"/>
        <rFont val="Calibri"/>
        <family val="2"/>
      </rPr>
      <t>é</t>
    </r>
    <r>
      <rPr>
        <sz val="11"/>
        <color theme="1"/>
        <rFont val="Calibri"/>
        <family val="2"/>
        <scheme val="minor"/>
      </rPr>
      <t xml:space="preserve">ns Regionais do Pais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</si>
</sst>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"/>
      <color theme="1"/>
      <name val="Calibri"/>
      <family val="2"/>
      <scheme val="minor"/>
    </font>
    <font>
      <sz val="11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FFEB84"/>
        <bgColor indexed="64"/>
      </patternFill>
    </fill>
    <fill>
      <patternFill patternType="solid">
        <fgColor rgb="FFC8DB80"/>
        <bgColor indexed="64"/>
      </patternFill>
    </fill>
    <fill>
      <patternFill patternType="solid">
        <fgColor rgb="FFFFDF82"/>
        <bgColor indexed="64"/>
      </patternFill>
    </fill>
    <fill>
      <patternFill patternType="solid">
        <fgColor rgb="FFE6E382"/>
        <bgColor indexed="64"/>
      </patternFill>
    </fill>
    <fill>
      <patternFill patternType="solid">
        <fgColor rgb="FFFFDB81"/>
        <bgColor indexed="64"/>
      </patternFill>
    </fill>
    <fill>
      <patternFill patternType="solid">
        <fgColor rgb="FF62BD7A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rgb="FFD0DD81"/>
        <bgColor indexed="64"/>
      </patternFill>
    </fill>
    <fill>
      <patternFill patternType="solid">
        <fgColor rgb="FFE0E182"/>
        <bgColor indexed="64"/>
      </patternFill>
    </fill>
    <fill>
      <patternFill patternType="solid">
        <fgColor rgb="FFFFD981"/>
        <bgColor indexed="64"/>
      </patternFill>
    </fill>
    <fill>
      <patternFill patternType="solid">
        <fgColor rgb="FFF97E6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/>
    </xf>
    <xf numFmtId="164" fontId="5" fillId="0" borderId="5" xfId="1" applyNumberFormat="1" applyFont="1" applyBorder="1" applyAlignment="1">
      <alignment vertical="top" wrapText="1"/>
    </xf>
    <xf numFmtId="0" fontId="4" fillId="0" borderId="5" xfId="0" applyFont="1" applyBorder="1" applyAlignment="1">
      <alignment horizontal="center"/>
    </xf>
    <xf numFmtId="0" fontId="6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9" fontId="7" fillId="6" borderId="6" xfId="0" applyNumberFormat="1" applyFont="1" applyFill="1" applyBorder="1" applyAlignment="1">
      <alignment horizontal="center" vertical="center" wrapText="1"/>
    </xf>
    <xf numFmtId="9" fontId="7" fillId="7" borderId="6" xfId="0" applyNumberFormat="1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/>
    </xf>
    <xf numFmtId="9" fontId="7" fillId="3" borderId="6" xfId="0" applyNumberFormat="1" applyFont="1" applyFill="1" applyBorder="1" applyAlignment="1">
      <alignment horizontal="center" vertical="center" wrapText="1"/>
    </xf>
    <xf numFmtId="43" fontId="5" fillId="0" borderId="5" xfId="1" applyFont="1" applyBorder="1" applyAlignment="1">
      <alignment vertical="top" wrapText="1"/>
    </xf>
    <xf numFmtId="9" fontId="7" fillId="4" borderId="6" xfId="0" applyNumberFormat="1" applyFont="1" applyFill="1" applyBorder="1" applyAlignment="1">
      <alignment horizontal="center" vertical="center" wrapText="1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horizontal="left"/>
    </xf>
    <xf numFmtId="164" fontId="5" fillId="0" borderId="5" xfId="1" applyNumberFormat="1" applyFont="1" applyFill="1" applyBorder="1" applyAlignment="1">
      <alignment vertical="top" wrapText="1"/>
    </xf>
    <xf numFmtId="9" fontId="7" fillId="12" borderId="6" xfId="0" applyNumberFormat="1" applyFont="1" applyFill="1" applyBorder="1" applyAlignment="1">
      <alignment horizontal="center" vertical="center" wrapText="1"/>
    </xf>
    <xf numFmtId="9" fontId="7" fillId="11" borderId="6" xfId="0" applyNumberFormat="1" applyFont="1" applyFill="1" applyBorder="1" applyAlignment="1">
      <alignment horizontal="center" vertical="center" wrapText="1"/>
    </xf>
    <xf numFmtId="9" fontId="7" fillId="5" borderId="6" xfId="0" applyNumberFormat="1" applyFont="1" applyFill="1" applyBorder="1" applyAlignment="1">
      <alignment horizontal="center" vertical="center" wrapText="1"/>
    </xf>
    <xf numFmtId="2" fontId="4" fillId="0" borderId="5" xfId="0" applyNumberFormat="1" applyFont="1" applyBorder="1" applyAlignment="1">
      <alignment horizontal="center"/>
    </xf>
    <xf numFmtId="9" fontId="7" fillId="10" borderId="6" xfId="0" applyNumberFormat="1" applyFont="1" applyFill="1" applyBorder="1" applyAlignment="1">
      <alignment horizontal="center" vertical="center" wrapText="1"/>
    </xf>
    <xf numFmtId="0" fontId="5" fillId="0" borderId="5" xfId="0" applyFont="1" applyBorder="1"/>
    <xf numFmtId="9" fontId="7" fillId="9" borderId="6" xfId="0" applyNumberFormat="1" applyFont="1" applyFill="1" applyBorder="1" applyAlignment="1">
      <alignment horizontal="center" vertical="center" wrapText="1"/>
    </xf>
    <xf numFmtId="9" fontId="7" fillId="2" borderId="6" xfId="0" applyNumberFormat="1" applyFont="1" applyFill="1" applyBorder="1" applyAlignment="1">
      <alignment horizontal="center" vertical="center" wrapText="1"/>
    </xf>
    <xf numFmtId="9" fontId="7" fillId="8" borderId="6" xfId="0" applyNumberFormat="1" applyFont="1" applyFill="1" applyBorder="1" applyAlignment="1">
      <alignment horizontal="center" vertical="center" wrapText="1"/>
    </xf>
    <xf numFmtId="0" fontId="5" fillId="0" borderId="8" xfId="0" applyFont="1" applyBorder="1"/>
    <xf numFmtId="0" fontId="5" fillId="13" borderId="2" xfId="0" applyFont="1" applyFill="1" applyBorder="1" applyAlignment="1">
      <alignment horizontal="center" vertical="top" wrapText="1"/>
    </xf>
    <xf numFmtId="0" fontId="5" fillId="13" borderId="2" xfId="0" applyFont="1" applyFill="1" applyBorder="1" applyAlignment="1">
      <alignment vertical="top" wrapText="1"/>
    </xf>
    <xf numFmtId="0" fontId="5" fillId="13" borderId="3" xfId="0" applyFont="1" applyFill="1" applyBorder="1" applyAlignment="1">
      <alignment horizontal="center" vertical="top" wrapText="1"/>
    </xf>
    <xf numFmtId="0" fontId="0" fillId="13" borderId="1" xfId="0" applyFill="1" applyBorder="1" applyAlignment="1">
      <alignment horizontal="center" vertical="center" wrapText="1"/>
    </xf>
    <xf numFmtId="0" fontId="8" fillId="14" borderId="8" xfId="0" applyFont="1" applyFill="1" applyBorder="1" applyAlignment="1">
      <alignment horizontal="center"/>
    </xf>
    <xf numFmtId="0" fontId="8" fillId="14" borderId="8" xfId="0" applyFont="1" applyFill="1" applyBorder="1" applyAlignment="1">
      <alignment horizontal="center" vertical="top" wrapText="1"/>
    </xf>
    <xf numFmtId="1" fontId="5" fillId="14" borderId="9" xfId="0" applyNumberFormat="1" applyFont="1" applyFill="1" applyBorder="1" applyAlignment="1">
      <alignment horizontal="center"/>
    </xf>
    <xf numFmtId="0" fontId="4" fillId="15" borderId="5" xfId="0" applyFont="1" applyFill="1" applyBorder="1" applyAlignment="1">
      <alignment horizontal="center" vertical="center" wrapText="1"/>
    </xf>
    <xf numFmtId="0" fontId="5" fillId="15" borderId="5" xfId="0" applyFont="1" applyFill="1" applyBorder="1" applyAlignment="1">
      <alignment vertical="top" wrapText="1"/>
    </xf>
    <xf numFmtId="0" fontId="9" fillId="15" borderId="8" xfId="0" applyFont="1" applyFill="1" applyBorder="1" applyAlignment="1">
      <alignment vertical="top" wrapText="1"/>
    </xf>
    <xf numFmtId="0" fontId="2" fillId="15" borderId="4" xfId="0" applyFont="1" applyFill="1" applyBorder="1" applyAlignment="1">
      <alignment horizontal="center" wrapText="1"/>
    </xf>
    <xf numFmtId="0" fontId="2" fillId="15" borderId="7" xfId="0" applyFont="1" applyFill="1" applyBorder="1"/>
    <xf numFmtId="0" fontId="2" fillId="15" borderId="4" xfId="0" applyFont="1" applyFill="1" applyBorder="1" applyAlignment="1">
      <alignment horizontal="center" vertical="center"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T18"/>
  <sheetViews>
    <sheetView tabSelected="1" topLeftCell="A2" workbookViewId="0">
      <selection activeCell="F20" sqref="F20"/>
    </sheetView>
  </sheetViews>
  <sheetFormatPr defaultRowHeight="15" x14ac:dyDescent="0.25"/>
  <cols>
    <col min="1" max="1" width="13" customWidth="1"/>
    <col min="2" max="2" width="16.5703125" customWidth="1"/>
    <col min="3" max="3" width="10" customWidth="1"/>
    <col min="4" max="4" width="7.5703125" customWidth="1"/>
    <col min="5" max="7" width="9.42578125" customWidth="1"/>
    <col min="8" max="8" width="10.140625" customWidth="1"/>
    <col min="9" max="9" width="9.5703125" customWidth="1"/>
    <col min="10" max="10" width="13.7109375" customWidth="1"/>
    <col min="11" max="11" width="6.7109375" customWidth="1"/>
    <col min="12" max="12" width="10.42578125" customWidth="1"/>
    <col min="13" max="13" width="12.28515625" customWidth="1"/>
    <col min="14" max="14" width="12.42578125" customWidth="1"/>
    <col min="15" max="15" width="11.5703125" customWidth="1"/>
    <col min="16" max="16" width="11.42578125" customWidth="1"/>
    <col min="17" max="17" width="7.140625" customWidth="1"/>
    <col min="18" max="19" width="12.140625" customWidth="1"/>
    <col min="20" max="20" width="11.28515625" customWidth="1"/>
  </cols>
  <sheetData>
    <row r="3" spans="1:20" ht="15.75" thickBot="1" x14ac:dyDescent="0.3"/>
    <row r="4" spans="1:20" ht="60.75" customHeight="1" x14ac:dyDescent="0.25">
      <c r="A4" s="30" t="s">
        <v>34</v>
      </c>
      <c r="B4" s="27" t="s">
        <v>2</v>
      </c>
      <c r="C4" s="27" t="s">
        <v>21</v>
      </c>
      <c r="D4" s="28" t="s">
        <v>15</v>
      </c>
      <c r="E4" s="27" t="s">
        <v>16</v>
      </c>
      <c r="F4" s="27" t="s">
        <v>33</v>
      </c>
      <c r="G4" s="27" t="s">
        <v>29</v>
      </c>
      <c r="H4" s="27" t="s">
        <v>30</v>
      </c>
      <c r="I4" s="27" t="s">
        <v>18</v>
      </c>
      <c r="J4" s="27" t="s">
        <v>19</v>
      </c>
      <c r="K4" s="28" t="s">
        <v>22</v>
      </c>
      <c r="L4" s="27" t="s">
        <v>23</v>
      </c>
      <c r="M4" s="27" t="s">
        <v>24</v>
      </c>
      <c r="N4" s="27" t="s">
        <v>25</v>
      </c>
      <c r="O4" s="27" t="s">
        <v>26</v>
      </c>
      <c r="P4" s="27" t="s">
        <v>27</v>
      </c>
      <c r="Q4" s="27" t="s">
        <v>28</v>
      </c>
      <c r="R4" s="27" t="s">
        <v>32</v>
      </c>
      <c r="S4" s="27" t="s">
        <v>31</v>
      </c>
      <c r="T4" s="29" t="s">
        <v>17</v>
      </c>
    </row>
    <row r="5" spans="1:20" x14ac:dyDescent="0.25">
      <c r="A5" s="39" t="s">
        <v>13</v>
      </c>
      <c r="B5" s="1" t="s">
        <v>0</v>
      </c>
      <c r="C5" s="2">
        <v>28</v>
      </c>
      <c r="D5" s="2">
        <v>659</v>
      </c>
      <c r="E5" s="3">
        <v>7908</v>
      </c>
      <c r="F5" s="4">
        <v>2</v>
      </c>
      <c r="G5" s="34">
        <v>1.4350000000000001</v>
      </c>
      <c r="H5" s="34">
        <v>17.227</v>
      </c>
      <c r="I5" s="5">
        <v>7</v>
      </c>
      <c r="J5" s="5">
        <v>28</v>
      </c>
      <c r="K5" s="5">
        <v>0</v>
      </c>
      <c r="L5" s="6">
        <v>7</v>
      </c>
      <c r="M5" s="6">
        <v>27</v>
      </c>
      <c r="N5" s="6">
        <v>206</v>
      </c>
      <c r="O5" s="6">
        <v>423</v>
      </c>
      <c r="P5" s="4">
        <v>206</v>
      </c>
      <c r="Q5" s="4">
        <v>2.4740000000000002</v>
      </c>
      <c r="R5" s="6">
        <v>1.4350000000000001</v>
      </c>
      <c r="S5" s="6">
        <v>17.227</v>
      </c>
      <c r="T5" s="7">
        <v>0.09</v>
      </c>
    </row>
    <row r="6" spans="1:20" x14ac:dyDescent="0.25">
      <c r="A6" s="39"/>
      <c r="B6" s="1" t="s">
        <v>1</v>
      </c>
      <c r="C6" s="2">
        <v>108</v>
      </c>
      <c r="D6" s="2">
        <v>379</v>
      </c>
      <c r="E6" s="3">
        <v>4548</v>
      </c>
      <c r="F6" s="4">
        <v>3</v>
      </c>
      <c r="G6" s="34">
        <v>2.4590000000000001</v>
      </c>
      <c r="H6" s="34">
        <v>29.515000000000001</v>
      </c>
      <c r="I6" s="5">
        <v>8</v>
      </c>
      <c r="J6" s="5">
        <v>104</v>
      </c>
      <c r="K6" s="5">
        <v>4</v>
      </c>
      <c r="L6" s="6">
        <v>8</v>
      </c>
      <c r="M6" s="6">
        <v>106</v>
      </c>
      <c r="N6" s="6">
        <v>3.7189999999999999</v>
      </c>
      <c r="O6" s="6">
        <v>313</v>
      </c>
      <c r="P6" s="4">
        <v>3.7189999999999999</v>
      </c>
      <c r="Q6" s="4">
        <v>44.628</v>
      </c>
      <c r="R6" s="6">
        <v>2.4590000000000001</v>
      </c>
      <c r="S6" s="6">
        <v>29.515000000000001</v>
      </c>
      <c r="T6" s="8">
        <v>0.05</v>
      </c>
    </row>
    <row r="7" spans="1:20" x14ac:dyDescent="0.25">
      <c r="A7" s="39"/>
      <c r="B7" s="9" t="s">
        <v>3</v>
      </c>
      <c r="C7" s="2">
        <v>136</v>
      </c>
      <c r="D7" s="2">
        <v>497</v>
      </c>
      <c r="E7" s="3">
        <v>5962</v>
      </c>
      <c r="F7" s="4">
        <v>4</v>
      </c>
      <c r="G7" s="34">
        <v>2.7330000000000001</v>
      </c>
      <c r="H7" s="34">
        <v>32.799999999999997</v>
      </c>
      <c r="I7" s="5">
        <v>12</v>
      </c>
      <c r="J7" s="5">
        <v>123</v>
      </c>
      <c r="K7" s="5">
        <v>13</v>
      </c>
      <c r="L7" s="6">
        <v>12</v>
      </c>
      <c r="M7" s="6">
        <v>135</v>
      </c>
      <c r="N7" s="6">
        <v>7.508</v>
      </c>
      <c r="O7" s="6">
        <v>453</v>
      </c>
      <c r="P7" s="4">
        <v>7.508</v>
      </c>
      <c r="Q7" s="4">
        <v>90.096000000000004</v>
      </c>
      <c r="R7" s="6">
        <v>2.7330000000000001</v>
      </c>
      <c r="S7" s="6">
        <v>32.799999999999997</v>
      </c>
      <c r="T7" s="10">
        <v>7.0000000000000007E-2</v>
      </c>
    </row>
    <row r="8" spans="1:20" x14ac:dyDescent="0.25">
      <c r="A8" s="39"/>
      <c r="B8" s="9" t="s">
        <v>4</v>
      </c>
      <c r="C8" s="2">
        <v>127</v>
      </c>
      <c r="D8" s="2">
        <v>628</v>
      </c>
      <c r="E8" s="11">
        <v>7.54</v>
      </c>
      <c r="F8" s="4">
        <v>5</v>
      </c>
      <c r="G8" s="34">
        <v>3.2469999999999999</v>
      </c>
      <c r="H8" s="34">
        <v>38.975000000000001</v>
      </c>
      <c r="I8" s="5">
        <v>14</v>
      </c>
      <c r="J8" s="5">
        <v>114</v>
      </c>
      <c r="K8" s="5">
        <v>13</v>
      </c>
      <c r="L8" s="6">
        <v>14</v>
      </c>
      <c r="M8" s="6">
        <v>125</v>
      </c>
      <c r="N8" s="6">
        <v>6.9340000000000002</v>
      </c>
      <c r="O8" s="6">
        <v>555</v>
      </c>
      <c r="P8" s="4">
        <v>6.9340000000000002</v>
      </c>
      <c r="Q8" s="4">
        <v>83.203999999999994</v>
      </c>
      <c r="R8" s="6">
        <v>3.2469999999999999</v>
      </c>
      <c r="S8" s="6">
        <v>38.975000000000001</v>
      </c>
      <c r="T8" s="12">
        <v>0.08</v>
      </c>
    </row>
    <row r="9" spans="1:20" x14ac:dyDescent="0.25">
      <c r="A9" s="37"/>
      <c r="B9" s="2"/>
      <c r="C9" s="2"/>
      <c r="D9" s="2"/>
      <c r="E9" s="13"/>
      <c r="F9" s="13"/>
      <c r="G9" s="35"/>
      <c r="H9" s="35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5"/>
    </row>
    <row r="10" spans="1:20" x14ac:dyDescent="0.25">
      <c r="A10" s="39" t="s">
        <v>12</v>
      </c>
      <c r="B10" s="9" t="s">
        <v>5</v>
      </c>
      <c r="C10" s="2">
        <v>240</v>
      </c>
      <c r="D10" s="2">
        <v>1221</v>
      </c>
      <c r="E10" s="16">
        <v>14651</v>
      </c>
      <c r="F10" s="4">
        <v>7</v>
      </c>
      <c r="G10" s="34">
        <v>4.8179999999999996</v>
      </c>
      <c r="H10" s="34">
        <v>57.81</v>
      </c>
      <c r="I10" s="5">
        <v>17</v>
      </c>
      <c r="J10" s="5">
        <v>219</v>
      </c>
      <c r="K10" s="5">
        <v>21</v>
      </c>
      <c r="L10" s="6">
        <v>17</v>
      </c>
      <c r="M10" s="6">
        <v>233</v>
      </c>
      <c r="N10" s="6">
        <v>12.065</v>
      </c>
      <c r="O10" s="6">
        <v>999</v>
      </c>
      <c r="P10" s="4">
        <v>12.065</v>
      </c>
      <c r="Q10" s="4">
        <v>144.77699999999999</v>
      </c>
      <c r="R10" s="6">
        <v>4.8179999999999996</v>
      </c>
      <c r="S10" s="6">
        <v>57.81</v>
      </c>
      <c r="T10" s="17">
        <v>0.16</v>
      </c>
    </row>
    <row r="11" spans="1:20" x14ac:dyDescent="0.25">
      <c r="A11" s="39"/>
      <c r="B11" s="9" t="s">
        <v>6</v>
      </c>
      <c r="C11" s="2">
        <v>122</v>
      </c>
      <c r="D11" s="2">
        <v>668</v>
      </c>
      <c r="E11" s="16">
        <v>8011</v>
      </c>
      <c r="F11" s="4">
        <v>5</v>
      </c>
      <c r="G11" s="34">
        <v>4.3099999999999996</v>
      </c>
      <c r="H11" s="34">
        <v>51.72</v>
      </c>
      <c r="I11" s="5">
        <v>13</v>
      </c>
      <c r="J11" s="5">
        <v>101</v>
      </c>
      <c r="K11" s="5">
        <v>21</v>
      </c>
      <c r="L11" s="6">
        <v>13</v>
      </c>
      <c r="M11" s="6">
        <v>120</v>
      </c>
      <c r="N11" s="6">
        <v>8.6760000000000002</v>
      </c>
      <c r="O11" s="6">
        <v>615</v>
      </c>
      <c r="P11" s="4">
        <v>8.6760000000000002</v>
      </c>
      <c r="Q11" s="4">
        <v>104.113</v>
      </c>
      <c r="R11" s="6">
        <v>4.3099999999999996</v>
      </c>
      <c r="S11" s="6">
        <v>51.72</v>
      </c>
      <c r="T11" s="18">
        <v>0.09</v>
      </c>
    </row>
    <row r="12" spans="1:20" x14ac:dyDescent="0.25">
      <c r="A12" s="39"/>
      <c r="B12" s="9" t="s">
        <v>7</v>
      </c>
      <c r="C12" s="2">
        <v>113</v>
      </c>
      <c r="D12" s="2">
        <v>530</v>
      </c>
      <c r="E12" s="16">
        <v>6361</v>
      </c>
      <c r="F12" s="4">
        <v>4</v>
      </c>
      <c r="G12" s="34">
        <v>2.976</v>
      </c>
      <c r="H12" s="34">
        <v>35.713999999999999</v>
      </c>
      <c r="I12" s="5">
        <v>10</v>
      </c>
      <c r="J12" s="5">
        <v>109</v>
      </c>
      <c r="K12" s="5">
        <v>4</v>
      </c>
      <c r="L12" s="6">
        <v>10</v>
      </c>
      <c r="M12" s="6">
        <v>108</v>
      </c>
      <c r="N12" s="6">
        <v>5.52</v>
      </c>
      <c r="O12" s="6">
        <v>392</v>
      </c>
      <c r="P12" s="4">
        <v>5.52</v>
      </c>
      <c r="Q12" s="4">
        <v>66.241</v>
      </c>
      <c r="R12" s="6">
        <v>2.976</v>
      </c>
      <c r="S12" s="6">
        <v>35.713999999999999</v>
      </c>
      <c r="T12" s="19">
        <v>7.0000000000000007E-2</v>
      </c>
    </row>
    <row r="13" spans="1:20" x14ac:dyDescent="0.25">
      <c r="A13" s="39"/>
      <c r="B13" s="9" t="s">
        <v>14</v>
      </c>
      <c r="C13" s="2">
        <v>147</v>
      </c>
      <c r="D13" s="2">
        <v>524</v>
      </c>
      <c r="E13" s="16">
        <v>6288</v>
      </c>
      <c r="F13" s="4">
        <v>5</v>
      </c>
      <c r="G13" s="34">
        <v>3.0579999999999998</v>
      </c>
      <c r="H13" s="34">
        <v>36.700000000000003</v>
      </c>
      <c r="I13" s="5">
        <v>13</v>
      </c>
      <c r="J13" s="5">
        <v>140</v>
      </c>
      <c r="K13" s="5">
        <v>7</v>
      </c>
      <c r="L13" s="6">
        <v>13</v>
      </c>
      <c r="M13" s="6">
        <v>146</v>
      </c>
      <c r="N13" s="6">
        <v>8.4160000000000004</v>
      </c>
      <c r="O13" s="6">
        <v>498</v>
      </c>
      <c r="P13" s="20">
        <v>5</v>
      </c>
      <c r="Q13" s="4">
        <v>68.241</v>
      </c>
      <c r="R13" s="6">
        <v>3.0579999999999998</v>
      </c>
      <c r="S13" s="6">
        <v>36.700000000000003</v>
      </c>
      <c r="T13" s="21">
        <v>7.0000000000000007E-2</v>
      </c>
    </row>
    <row r="14" spans="1:20" x14ac:dyDescent="0.25">
      <c r="A14" s="37"/>
      <c r="B14" s="22"/>
      <c r="C14" s="2"/>
      <c r="D14" s="2"/>
      <c r="E14" s="13"/>
      <c r="F14" s="13"/>
      <c r="G14" s="35"/>
      <c r="H14" s="35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5"/>
    </row>
    <row r="15" spans="1:20" x14ac:dyDescent="0.25">
      <c r="A15" s="39" t="s">
        <v>11</v>
      </c>
      <c r="B15" s="22" t="s">
        <v>8</v>
      </c>
      <c r="C15" s="2">
        <v>171</v>
      </c>
      <c r="D15" s="2">
        <v>505</v>
      </c>
      <c r="E15" s="16">
        <v>6061</v>
      </c>
      <c r="F15" s="4">
        <v>4</v>
      </c>
      <c r="G15" s="34">
        <v>4.2729999999999997</v>
      </c>
      <c r="H15" s="34">
        <v>51.28</v>
      </c>
      <c r="I15" s="5">
        <v>16</v>
      </c>
      <c r="J15" s="5">
        <v>153</v>
      </c>
      <c r="K15" s="5">
        <v>18</v>
      </c>
      <c r="L15" s="6">
        <v>16</v>
      </c>
      <c r="M15" s="6">
        <v>169</v>
      </c>
      <c r="N15" s="6">
        <v>9.1069999999999993</v>
      </c>
      <c r="O15" s="6">
        <v>443</v>
      </c>
      <c r="P15" s="4">
        <v>9.1069999999999993</v>
      </c>
      <c r="Q15" s="4">
        <v>109.28700000000001</v>
      </c>
      <c r="R15" s="6">
        <v>4.2729999999999997</v>
      </c>
      <c r="S15" s="6">
        <v>51.28</v>
      </c>
      <c r="T15" s="23">
        <v>7.0000000000000007E-2</v>
      </c>
    </row>
    <row r="16" spans="1:20" x14ac:dyDescent="0.25">
      <c r="A16" s="39"/>
      <c r="B16" s="22" t="s">
        <v>9</v>
      </c>
      <c r="C16" s="2">
        <v>119</v>
      </c>
      <c r="D16" s="2">
        <v>558</v>
      </c>
      <c r="E16" s="16">
        <v>6694</v>
      </c>
      <c r="F16" s="4">
        <v>5</v>
      </c>
      <c r="G16" s="34">
        <v>3.923</v>
      </c>
      <c r="H16" s="34">
        <v>47.08</v>
      </c>
      <c r="I16" s="5">
        <v>17</v>
      </c>
      <c r="J16" s="5">
        <v>117</v>
      </c>
      <c r="K16" s="5">
        <v>2</v>
      </c>
      <c r="L16" s="6">
        <v>17</v>
      </c>
      <c r="M16" s="6">
        <v>117</v>
      </c>
      <c r="N16" s="6">
        <v>5.9219999999999997</v>
      </c>
      <c r="O16" s="6">
        <v>507</v>
      </c>
      <c r="P16" s="4">
        <v>5.9219999999999997</v>
      </c>
      <c r="Q16" s="4">
        <v>71.063999999999993</v>
      </c>
      <c r="R16" s="6">
        <v>3.923</v>
      </c>
      <c r="S16" s="6">
        <v>47.08</v>
      </c>
      <c r="T16" s="24">
        <v>7.0000000000000007E-2</v>
      </c>
    </row>
    <row r="17" spans="1:20" x14ac:dyDescent="0.25">
      <c r="A17" s="39"/>
      <c r="B17" s="22" t="s">
        <v>10</v>
      </c>
      <c r="C17" s="2">
        <v>210</v>
      </c>
      <c r="D17" s="2">
        <v>1.35</v>
      </c>
      <c r="E17" s="16">
        <v>16199</v>
      </c>
      <c r="F17" s="4">
        <v>9</v>
      </c>
      <c r="G17" s="34">
        <v>5.2750000000000004</v>
      </c>
      <c r="H17" s="34">
        <v>63.308</v>
      </c>
      <c r="I17" s="5">
        <v>21</v>
      </c>
      <c r="J17" s="5">
        <v>200</v>
      </c>
      <c r="K17" s="5">
        <v>10</v>
      </c>
      <c r="L17" s="6">
        <v>21</v>
      </c>
      <c r="M17" s="6">
        <v>208</v>
      </c>
      <c r="N17" s="6">
        <v>9.3550000000000004</v>
      </c>
      <c r="O17" s="6">
        <v>1.282</v>
      </c>
      <c r="P17" s="4">
        <v>9.3550000000000004</v>
      </c>
      <c r="Q17" s="4">
        <v>112.256</v>
      </c>
      <c r="R17" s="6">
        <v>5.2750000000000004</v>
      </c>
      <c r="S17" s="6">
        <v>63.308</v>
      </c>
      <c r="T17" s="25">
        <v>0.18</v>
      </c>
    </row>
    <row r="18" spans="1:20" ht="15.75" thickBot="1" x14ac:dyDescent="0.3">
      <c r="A18" s="38" t="s">
        <v>20</v>
      </c>
      <c r="B18" s="26"/>
      <c r="C18" s="31">
        <f>SUM(C5:C17)</f>
        <v>1521</v>
      </c>
      <c r="D18" s="31">
        <f t="shared" ref="D18:T18" si="0">SUM(D5:D17)</f>
        <v>6170.35</v>
      </c>
      <c r="E18" s="32">
        <f t="shared" si="0"/>
        <v>82690.540000000008</v>
      </c>
      <c r="F18" s="32">
        <f t="shared" si="0"/>
        <v>53</v>
      </c>
      <c r="G18" s="36">
        <f t="shared" ref="G18" si="1">SUM(G5:G17)</f>
        <v>38.506999999999998</v>
      </c>
      <c r="H18" s="36">
        <f t="shared" ref="H18" si="2">SUM(H5:H17)</f>
        <v>462.12899999999996</v>
      </c>
      <c r="I18" s="31">
        <f t="shared" si="0"/>
        <v>148</v>
      </c>
      <c r="J18" s="31">
        <f t="shared" si="0"/>
        <v>1408</v>
      </c>
      <c r="K18" s="31">
        <f t="shared" si="0"/>
        <v>113</v>
      </c>
      <c r="L18" s="31">
        <f t="shared" ref="L18" si="3">SUM(L5:L17)</f>
        <v>148</v>
      </c>
      <c r="M18" s="31">
        <f t="shared" ref="M18" si="4">SUM(M5:M17)</f>
        <v>1494</v>
      </c>
      <c r="N18" s="31">
        <f t="shared" ref="N18" si="5">SUM(N5:N17)</f>
        <v>283.22200000000009</v>
      </c>
      <c r="O18" s="31">
        <f t="shared" ref="O18" si="6">SUM(O5:O17)</f>
        <v>5199.2820000000002</v>
      </c>
      <c r="P18" s="31">
        <f t="shared" ref="P18" si="7">SUM(P5:P17)</f>
        <v>279.80600000000004</v>
      </c>
      <c r="Q18" s="31">
        <f t="shared" ref="Q18" si="8">SUM(Q5:Q17)</f>
        <v>896.38099999999997</v>
      </c>
      <c r="R18" s="31">
        <f t="shared" ref="R18" si="9">SUM(R5:R17)</f>
        <v>38.506999999999998</v>
      </c>
      <c r="S18" s="31">
        <f t="shared" ref="S18" si="10">SUM(S5:S17)</f>
        <v>462.12899999999996</v>
      </c>
      <c r="T18" s="33">
        <f t="shared" si="0"/>
        <v>1.0000000000000002</v>
      </c>
    </row>
  </sheetData>
  <mergeCells count="3">
    <mergeCell ref="A5:A8"/>
    <mergeCell ref="A15:A17"/>
    <mergeCell ref="A10:A13"/>
  </mergeCell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 de 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Noe Santos Macuacua</cp:lastModifiedBy>
  <dcterms:created xsi:type="dcterms:W3CDTF">2015-06-05T18:19:34Z</dcterms:created>
  <dcterms:modified xsi:type="dcterms:W3CDTF">2025-05-25T20:25:57Z</dcterms:modified>
</cp:coreProperties>
</file>