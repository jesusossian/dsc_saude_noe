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Dad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<sst xmlns="http://schemas.openxmlformats.org/spreadsheetml/2006/main" count="35" uniqueCount="35">
  <si>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Armazéns Regionais do Pais </t>
  </si>
  <si>
    <t xml:space="preserve">Depositos Provinciais (DPM)</t>
  </si>
  <si>
    <t xml:space="preserve">Unidades Sanitárias  </t>
  </si>
  <si>
    <t xml:space="preserve">Volume (m3) por Mês </t>
  </si>
  <si>
    <t xml:space="preserve">Volume (m3) por Ano </t>
  </si>
  <si>
    <t xml:space="preserve">Total de Viaturas DPS</t>
  </si>
  <si>
    <t xml:space="preserve">Custo Total Provincia  por Mês (USD)</t>
  </si>
  <si>
    <t xml:space="preserve">Custo Total Provincia  por Ano (USD)</t>
  </si>
  <si>
    <t xml:space="preserve">Total  Depositos DDMs por  provincia</t>
  </si>
  <si>
    <t xml:space="preserve">Unidades Sanitarias a 50 Km do DDM</t>
  </si>
  <si>
    <t xml:space="preserve">U.S fora de 50 km dos DDMs</t>
  </si>
  <si>
    <t xml:space="preserve">Total de Armazém  no Distrito </t>
  </si>
  <si>
    <t xml:space="preserve">Total de Centros de Saúde por Província</t>
  </si>
  <si>
    <t xml:space="preserve">Total de km por província</t>
  </si>
  <si>
    <t xml:space="preserve">Volume estimado por mês (m3)</t>
  </si>
  <si>
    <t xml:space="preserve">Total de km por mês no DDMs</t>
  </si>
  <si>
    <t xml:space="preserve">Total de km por  ano DDMs</t>
  </si>
  <si>
    <t xml:space="preserve">Custo Total DDs  por Mês (USD)</t>
  </si>
  <si>
    <t xml:space="preserve">Custo Total DDs  por Ano (USD)</t>
  </si>
  <si>
    <t xml:space="preserve">% da Demanda Nacional </t>
  </si>
  <si>
    <t xml:space="preserve">Armazem Regional do Sul</t>
  </si>
  <si>
    <t xml:space="preserve">Maputo Cidade</t>
  </si>
  <si>
    <t xml:space="preserve">Maputo Provincia </t>
  </si>
  <si>
    <t xml:space="preserve">Gaza </t>
  </si>
  <si>
    <t xml:space="preserve">Inhambane </t>
  </si>
  <si>
    <t xml:space="preserve">Armazem  Regional do  Centro </t>
  </si>
  <si>
    <t xml:space="preserve">Zambézia</t>
  </si>
  <si>
    <t xml:space="preserve">Tete</t>
  </si>
  <si>
    <t xml:space="preserve">Manica</t>
  </si>
  <si>
    <t xml:space="preserve">Sofala </t>
  </si>
  <si>
    <t xml:space="preserve">Armazem Regional do Norte </t>
  </si>
  <si>
    <t xml:space="preserve">Niassa</t>
  </si>
  <si>
    <t xml:space="preserve">Cabo Delgado</t>
  </si>
  <si>
    <t xml:space="preserve">Nampula</t>
  </si>
  <si>
    <t xml:space="preserve">Grande 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</si>
</sst>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_-* #,##0_-;\-* #,##0_-;_-* \-??_-;_-@_-"/>
    <numFmt numFmtId="167" formatCode="0%"/>
    <numFmt numFmtId="168" formatCode="0.00"/>
    <numFmt numFmtId="169" formatCode="General"/>
    <numFmt numFmtId="170" formatCode="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b val="true"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name val="Times New Roman"/>
      <family val="1"/>
      <charset val="1"/>
    </font>
  </fonts>
  <fills count="16">
    <fill>
      <patternFill patternType="none"/>
    </fill>
    <fill>
      <patternFill patternType="gray125"/>
    </fill>
    <fill>
      <patternFill patternType="solid">
        <fgColor rgb="FFF2F2F2"/>
        <bgColor rgb="FFFBE5D6"/>
      </patternFill>
    </fill>
    <fill>
      <patternFill patternType="solid">
        <fgColor rgb="FFFBE5D6"/>
        <bgColor rgb="FFF2F2F2"/>
      </patternFill>
    </fill>
    <fill>
      <patternFill patternType="solid">
        <fgColor rgb="FFFFDB81"/>
        <bgColor rgb="FFFFD981"/>
      </patternFill>
    </fill>
    <fill>
      <patternFill patternType="solid">
        <fgColor rgb="FF62BD7A"/>
        <bgColor rgb="FF33CCCC"/>
      </patternFill>
    </fill>
    <fill>
      <patternFill patternType="solid">
        <fgColor rgb="FFC8DB80"/>
        <bgColor rgb="FFD0DD81"/>
      </patternFill>
    </fill>
    <fill>
      <patternFill patternType="solid">
        <fgColor rgb="FFFFDF82"/>
        <bgColor rgb="FFFFDB81"/>
      </patternFill>
    </fill>
    <fill>
      <patternFill patternType="solid">
        <fgColor rgb="FFF97E6F"/>
        <bgColor rgb="FFF8696B"/>
      </patternFill>
    </fill>
    <fill>
      <patternFill patternType="solid">
        <fgColor rgb="FFFFD981"/>
        <bgColor rgb="FFFFDB81"/>
      </patternFill>
    </fill>
    <fill>
      <patternFill patternType="solid">
        <fgColor rgb="FFE6E382"/>
        <bgColor rgb="FFE0E182"/>
      </patternFill>
    </fill>
    <fill>
      <patternFill patternType="solid">
        <fgColor rgb="FFE0E182"/>
        <bgColor rgb="FFE6E382"/>
      </patternFill>
    </fill>
    <fill>
      <patternFill patternType="solid">
        <fgColor rgb="FFD0DD81"/>
        <bgColor rgb="FFC8DB80"/>
      </patternFill>
    </fill>
    <fill>
      <patternFill patternType="solid">
        <fgColor rgb="FFFFEB84"/>
        <bgColor rgb="FFFFDF82"/>
      </patternFill>
    </fill>
    <fill>
      <patternFill patternType="solid">
        <fgColor rgb="FFF8696B"/>
        <bgColor rgb="FFF97E6F"/>
      </patternFill>
    </fill>
    <fill>
      <patternFill patternType="solid">
        <fgColor rgb="FF00B0F0"/>
        <bgColor rgb="FF33CC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5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5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7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1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15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3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4" fillId="1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DF8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B80"/>
      <rgbColor rgb="FF808080"/>
      <rgbColor rgb="FF9999FF"/>
      <rgbColor rgb="FF993366"/>
      <rgbColor rgb="FFFBE5D6"/>
      <rgbColor rgb="FFE6E382"/>
      <rgbColor rgb="FF660066"/>
      <rgbColor rgb="FFF97E6F"/>
      <rgbColor rgb="FF0066CC"/>
      <rgbColor rgb="FFD0DD8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0E182"/>
      <rgbColor rgb="FFFFEB84"/>
      <rgbColor rgb="FF99CCFF"/>
      <rgbColor rgb="FFFF99CC"/>
      <rgbColor rgb="FFCC99FF"/>
      <rgbColor rgb="FFFFD981"/>
      <rgbColor rgb="FF3366FF"/>
      <rgbColor rgb="FF33CCCC"/>
      <rgbColor rgb="FF99CC00"/>
      <rgbColor rgb="FFFFDB81"/>
      <rgbColor rgb="FFFF9900"/>
      <rgbColor rgb="FFF8696B"/>
      <rgbColor rgb="FF666699"/>
      <rgbColor rgb="FF969696"/>
      <rgbColor rgb="FF003366"/>
      <rgbColor rgb="FF62BD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T18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5" activeCellId="0" sqref="A5:A8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6.57"/>
    <col collapsed="false" customWidth="true" hidden="false" outlineLevel="0" max="3" min="3" style="0" width="10"/>
    <col collapsed="false" customWidth="true" hidden="false" outlineLevel="0" max="4" min="4" style="0" width="7.57"/>
    <col collapsed="false" customWidth="true" hidden="false" outlineLevel="0" max="7" min="5" style="0" width="9.42"/>
    <col collapsed="false" customWidth="true" hidden="false" outlineLevel="0" max="8" min="8" style="0" width="10.14"/>
    <col collapsed="false" customWidth="true" hidden="false" outlineLevel="0" max="9" min="9" style="0" width="9.58"/>
    <col collapsed="false" customWidth="true" hidden="false" outlineLevel="0" max="10" min="10" style="0" width="13.7"/>
    <col collapsed="false" customWidth="true" hidden="false" outlineLevel="0" max="11" min="11" style="0" width="6.71"/>
    <col collapsed="false" customWidth="true" hidden="false" outlineLevel="0" max="12" min="12" style="0" width="10.42"/>
    <col collapsed="false" customWidth="true" hidden="false" outlineLevel="0" max="13" min="13" style="0" width="12.29"/>
    <col collapsed="false" customWidth="true" hidden="false" outlineLevel="0" max="14" min="14" style="0" width="12.42"/>
    <col collapsed="false" customWidth="true" hidden="false" outlineLevel="0" max="15" min="15" style="0" width="11.57"/>
    <col collapsed="false" customWidth="true" hidden="false" outlineLevel="0" max="16" min="16" style="0" width="11.42"/>
    <col collapsed="false" customWidth="true" hidden="false" outlineLevel="0" max="17" min="17" style="0" width="7.15"/>
    <col collapsed="false" customWidth="true" hidden="false" outlineLevel="0" max="19" min="18" style="0" width="12.14"/>
    <col collapsed="false" customWidth="true" hidden="false" outlineLevel="0" max="20" min="20" style="0" width="11.29"/>
  </cols>
  <sheetData>
    <row r="3" customFormat="false" ht="15.75" hidden="false" customHeight="false" outlineLevel="0" collapsed="false"/>
    <row r="4" customFormat="false" ht="60.75" hidden="false" customHeight="true" outlineLevel="0" collapsed="false">
      <c r="A4" s="1" t="s">
        <v>0</v>
      </c>
      <c r="B4" s="2" t="s">
        <v>1</v>
      </c>
      <c r="C4" s="2" t="s">
        <v>2</v>
      </c>
      <c r="D4" s="3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4" t="s">
        <v>19</v>
      </c>
    </row>
    <row r="5" customFormat="false" ht="13.8" hidden="false" customHeight="true" outlineLevel="0" collapsed="false">
      <c r="A5" s="5" t="s">
        <v>20</v>
      </c>
      <c r="B5" s="6" t="s">
        <v>21</v>
      </c>
      <c r="C5" s="7" t="n">
        <v>28</v>
      </c>
      <c r="D5" s="7" t="n">
        <v>659</v>
      </c>
      <c r="E5" s="8" t="n">
        <v>7908</v>
      </c>
      <c r="F5" s="9" t="n">
        <v>2</v>
      </c>
      <c r="G5" s="10" t="n">
        <v>1.435</v>
      </c>
      <c r="H5" s="10" t="n">
        <v>17.227</v>
      </c>
      <c r="I5" s="11" t="n">
        <v>7</v>
      </c>
      <c r="J5" s="11" t="n">
        <v>28</v>
      </c>
      <c r="K5" s="11" t="n">
        <v>0</v>
      </c>
      <c r="L5" s="12" t="n">
        <v>7</v>
      </c>
      <c r="M5" s="12" t="n">
        <v>27</v>
      </c>
      <c r="N5" s="12" t="n">
        <v>206</v>
      </c>
      <c r="O5" s="12" t="n">
        <v>423</v>
      </c>
      <c r="P5" s="9" t="n">
        <v>206</v>
      </c>
      <c r="Q5" s="9" t="n">
        <v>2.474</v>
      </c>
      <c r="R5" s="12" t="n">
        <v>1.435</v>
      </c>
      <c r="S5" s="12" t="n">
        <v>17.227</v>
      </c>
      <c r="T5" s="13" t="n">
        <v>0.09</v>
      </c>
    </row>
    <row r="6" customFormat="false" ht="13.8" hidden="false" customHeight="false" outlineLevel="0" collapsed="false">
      <c r="A6" s="5"/>
      <c r="B6" s="6" t="s">
        <v>22</v>
      </c>
      <c r="C6" s="7" t="n">
        <v>108</v>
      </c>
      <c r="D6" s="7" t="n">
        <v>379</v>
      </c>
      <c r="E6" s="8" t="n">
        <v>4548</v>
      </c>
      <c r="F6" s="9" t="n">
        <v>3</v>
      </c>
      <c r="G6" s="10" t="n">
        <v>2.459</v>
      </c>
      <c r="H6" s="10" t="n">
        <v>29.515</v>
      </c>
      <c r="I6" s="11" t="n">
        <v>8</v>
      </c>
      <c r="J6" s="11" t="n">
        <v>104</v>
      </c>
      <c r="K6" s="11" t="n">
        <v>4</v>
      </c>
      <c r="L6" s="12" t="n">
        <v>8</v>
      </c>
      <c r="M6" s="12" t="n">
        <v>106</v>
      </c>
      <c r="N6" s="12" t="n">
        <v>3.719</v>
      </c>
      <c r="O6" s="12" t="n">
        <v>313</v>
      </c>
      <c r="P6" s="9" t="n">
        <v>3.719</v>
      </c>
      <c r="Q6" s="9" t="n">
        <v>44.628</v>
      </c>
      <c r="R6" s="12" t="n">
        <v>2.459</v>
      </c>
      <c r="S6" s="12" t="n">
        <v>29.515</v>
      </c>
      <c r="T6" s="14" t="n">
        <v>0.05</v>
      </c>
    </row>
    <row r="7" customFormat="false" ht="13.8" hidden="false" customHeight="false" outlineLevel="0" collapsed="false">
      <c r="A7" s="5"/>
      <c r="B7" s="15" t="s">
        <v>23</v>
      </c>
      <c r="C7" s="7" t="n">
        <v>136</v>
      </c>
      <c r="D7" s="7" t="n">
        <v>497</v>
      </c>
      <c r="E7" s="8" t="n">
        <v>5962</v>
      </c>
      <c r="F7" s="9" t="n">
        <v>4</v>
      </c>
      <c r="G7" s="10" t="n">
        <v>2.733</v>
      </c>
      <c r="H7" s="10" t="n">
        <v>32.8</v>
      </c>
      <c r="I7" s="11" t="n">
        <v>12</v>
      </c>
      <c r="J7" s="11" t="n">
        <v>123</v>
      </c>
      <c r="K7" s="11" t="n">
        <v>13</v>
      </c>
      <c r="L7" s="12" t="n">
        <v>12</v>
      </c>
      <c r="M7" s="12" t="n">
        <v>135</v>
      </c>
      <c r="N7" s="12" t="n">
        <v>7.508</v>
      </c>
      <c r="O7" s="12" t="n">
        <v>453</v>
      </c>
      <c r="P7" s="9" t="n">
        <v>7.508</v>
      </c>
      <c r="Q7" s="9" t="n">
        <v>90.096</v>
      </c>
      <c r="R7" s="12" t="n">
        <v>2.733</v>
      </c>
      <c r="S7" s="12" t="n">
        <v>32.8</v>
      </c>
      <c r="T7" s="16" t="n">
        <v>0.07</v>
      </c>
    </row>
    <row r="8" customFormat="false" ht="13.8" hidden="false" customHeight="false" outlineLevel="0" collapsed="false">
      <c r="A8" s="5"/>
      <c r="B8" s="15" t="s">
        <v>24</v>
      </c>
      <c r="C8" s="7" t="n">
        <v>127</v>
      </c>
      <c r="D8" s="7" t="n">
        <v>628</v>
      </c>
      <c r="E8" s="17" t="n">
        <v>7.54</v>
      </c>
      <c r="F8" s="9" t="n">
        <v>5</v>
      </c>
      <c r="G8" s="10" t="n">
        <v>3.247</v>
      </c>
      <c r="H8" s="10" t="n">
        <v>38.975</v>
      </c>
      <c r="I8" s="11" t="n">
        <v>14</v>
      </c>
      <c r="J8" s="11" t="n">
        <v>114</v>
      </c>
      <c r="K8" s="11" t="n">
        <v>13</v>
      </c>
      <c r="L8" s="12" t="n">
        <v>14</v>
      </c>
      <c r="M8" s="12" t="n">
        <v>125</v>
      </c>
      <c r="N8" s="12" t="n">
        <v>6.934</v>
      </c>
      <c r="O8" s="12" t="n">
        <v>555</v>
      </c>
      <c r="P8" s="9" t="n">
        <v>6.934</v>
      </c>
      <c r="Q8" s="9" t="n">
        <v>83.204</v>
      </c>
      <c r="R8" s="12" t="n">
        <v>3.247</v>
      </c>
      <c r="S8" s="12" t="n">
        <v>38.975</v>
      </c>
      <c r="T8" s="18" t="n">
        <v>0.08</v>
      </c>
    </row>
    <row r="9" customFormat="false" ht="15" hidden="false" customHeight="false" outlineLevel="0" collapsed="false">
      <c r="A9" s="19"/>
      <c r="B9" s="7"/>
      <c r="C9" s="7"/>
      <c r="D9" s="7"/>
      <c r="E9" s="20"/>
      <c r="F9" s="20"/>
      <c r="G9" s="21"/>
      <c r="H9" s="21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3"/>
    </row>
    <row r="10" customFormat="false" ht="15" hidden="false" customHeight="true" outlineLevel="0" collapsed="false">
      <c r="A10" s="5" t="s">
        <v>25</v>
      </c>
      <c r="B10" s="15" t="s">
        <v>26</v>
      </c>
      <c r="C10" s="7" t="n">
        <v>240</v>
      </c>
      <c r="D10" s="7" t="n">
        <v>1221</v>
      </c>
      <c r="E10" s="8" t="n">
        <v>14651</v>
      </c>
      <c r="F10" s="9" t="n">
        <v>7</v>
      </c>
      <c r="G10" s="10" t="n">
        <v>4.818</v>
      </c>
      <c r="H10" s="10" t="n">
        <v>57.81</v>
      </c>
      <c r="I10" s="11" t="n">
        <v>17</v>
      </c>
      <c r="J10" s="11" t="n">
        <v>219</v>
      </c>
      <c r="K10" s="11" t="n">
        <v>21</v>
      </c>
      <c r="L10" s="12" t="n">
        <v>17</v>
      </c>
      <c r="M10" s="12" t="n">
        <v>233</v>
      </c>
      <c r="N10" s="12" t="n">
        <v>12.065</v>
      </c>
      <c r="O10" s="12" t="n">
        <v>999</v>
      </c>
      <c r="P10" s="9" t="n">
        <v>12.065</v>
      </c>
      <c r="Q10" s="9" t="n">
        <v>144.777</v>
      </c>
      <c r="R10" s="12" t="n">
        <v>4.818</v>
      </c>
      <c r="S10" s="12" t="n">
        <v>57.81</v>
      </c>
      <c r="T10" s="24" t="n">
        <v>0.16</v>
      </c>
    </row>
    <row r="11" customFormat="false" ht="15" hidden="false" customHeight="false" outlineLevel="0" collapsed="false">
      <c r="A11" s="5"/>
      <c r="B11" s="15" t="s">
        <v>27</v>
      </c>
      <c r="C11" s="7" t="n">
        <v>122</v>
      </c>
      <c r="D11" s="7" t="n">
        <v>668</v>
      </c>
      <c r="E11" s="8" t="n">
        <v>8011</v>
      </c>
      <c r="F11" s="9" t="n">
        <v>5</v>
      </c>
      <c r="G11" s="10" t="n">
        <v>4.31</v>
      </c>
      <c r="H11" s="10" t="n">
        <v>51.72</v>
      </c>
      <c r="I11" s="11" t="n">
        <v>13</v>
      </c>
      <c r="J11" s="11" t="n">
        <v>101</v>
      </c>
      <c r="K11" s="11" t="n">
        <v>21</v>
      </c>
      <c r="L11" s="12" t="n">
        <v>13</v>
      </c>
      <c r="M11" s="12" t="n">
        <v>120</v>
      </c>
      <c r="N11" s="12" t="n">
        <v>8.676</v>
      </c>
      <c r="O11" s="12" t="n">
        <v>615</v>
      </c>
      <c r="P11" s="9" t="n">
        <v>8.676</v>
      </c>
      <c r="Q11" s="9" t="n">
        <v>104.113</v>
      </c>
      <c r="R11" s="12" t="n">
        <v>4.31</v>
      </c>
      <c r="S11" s="12" t="n">
        <v>51.72</v>
      </c>
      <c r="T11" s="25" t="n">
        <v>0.09</v>
      </c>
    </row>
    <row r="12" customFormat="false" ht="15" hidden="false" customHeight="false" outlineLevel="0" collapsed="false">
      <c r="A12" s="5"/>
      <c r="B12" s="15" t="s">
        <v>28</v>
      </c>
      <c r="C12" s="7" t="n">
        <v>113</v>
      </c>
      <c r="D12" s="7" t="n">
        <v>530</v>
      </c>
      <c r="E12" s="8" t="n">
        <v>6361</v>
      </c>
      <c r="F12" s="9" t="n">
        <v>4</v>
      </c>
      <c r="G12" s="10" t="n">
        <v>2.976</v>
      </c>
      <c r="H12" s="10" t="n">
        <v>35.714</v>
      </c>
      <c r="I12" s="11" t="n">
        <v>10</v>
      </c>
      <c r="J12" s="11" t="n">
        <v>109</v>
      </c>
      <c r="K12" s="11" t="n">
        <v>4</v>
      </c>
      <c r="L12" s="12" t="n">
        <v>10</v>
      </c>
      <c r="M12" s="12" t="n">
        <v>108</v>
      </c>
      <c r="N12" s="12" t="n">
        <v>5.52</v>
      </c>
      <c r="O12" s="12" t="n">
        <v>392</v>
      </c>
      <c r="P12" s="9" t="n">
        <v>5.52</v>
      </c>
      <c r="Q12" s="9" t="n">
        <v>66.241</v>
      </c>
      <c r="R12" s="12" t="n">
        <v>2.976</v>
      </c>
      <c r="S12" s="12" t="n">
        <v>35.714</v>
      </c>
      <c r="T12" s="26" t="n">
        <v>0.07</v>
      </c>
    </row>
    <row r="13" customFormat="false" ht="15" hidden="false" customHeight="false" outlineLevel="0" collapsed="false">
      <c r="A13" s="5"/>
      <c r="B13" s="15" t="s">
        <v>29</v>
      </c>
      <c r="C13" s="7" t="n">
        <v>147</v>
      </c>
      <c r="D13" s="7" t="n">
        <v>524</v>
      </c>
      <c r="E13" s="8" t="n">
        <v>6288</v>
      </c>
      <c r="F13" s="9" t="n">
        <v>5</v>
      </c>
      <c r="G13" s="10" t="n">
        <v>3.058</v>
      </c>
      <c r="H13" s="10" t="n">
        <v>36.7</v>
      </c>
      <c r="I13" s="11" t="n">
        <v>13</v>
      </c>
      <c r="J13" s="11" t="n">
        <v>140</v>
      </c>
      <c r="K13" s="11" t="n">
        <v>7</v>
      </c>
      <c r="L13" s="12" t="n">
        <v>13</v>
      </c>
      <c r="M13" s="12" t="n">
        <v>146</v>
      </c>
      <c r="N13" s="12" t="n">
        <v>8.416</v>
      </c>
      <c r="O13" s="12" t="n">
        <v>498</v>
      </c>
      <c r="P13" s="27" t="n">
        <v>5</v>
      </c>
      <c r="Q13" s="9" t="n">
        <v>68.241</v>
      </c>
      <c r="R13" s="12" t="n">
        <v>3.058</v>
      </c>
      <c r="S13" s="12" t="n">
        <v>36.7</v>
      </c>
      <c r="T13" s="28" t="n">
        <v>0.07</v>
      </c>
    </row>
    <row r="14" customFormat="false" ht="15" hidden="false" customHeight="false" outlineLevel="0" collapsed="false">
      <c r="A14" s="19"/>
      <c r="B14" s="29"/>
      <c r="C14" s="7"/>
      <c r="D14" s="7"/>
      <c r="E14" s="20"/>
      <c r="F14" s="20"/>
      <c r="G14" s="21"/>
      <c r="H14" s="21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3"/>
    </row>
    <row r="15" customFormat="false" ht="15" hidden="false" customHeight="true" outlineLevel="0" collapsed="false">
      <c r="A15" s="5" t="s">
        <v>30</v>
      </c>
      <c r="B15" s="29" t="s">
        <v>31</v>
      </c>
      <c r="C15" s="7" t="n">
        <v>171</v>
      </c>
      <c r="D15" s="7" t="n">
        <v>505</v>
      </c>
      <c r="E15" s="8" t="n">
        <v>6061</v>
      </c>
      <c r="F15" s="9" t="n">
        <v>4</v>
      </c>
      <c r="G15" s="10" t="n">
        <v>4.273</v>
      </c>
      <c r="H15" s="10" t="n">
        <v>51.28</v>
      </c>
      <c r="I15" s="11" t="n">
        <v>16</v>
      </c>
      <c r="J15" s="11" t="n">
        <v>153</v>
      </c>
      <c r="K15" s="11" t="n">
        <v>18</v>
      </c>
      <c r="L15" s="12" t="n">
        <v>16</v>
      </c>
      <c r="M15" s="12" t="n">
        <v>169</v>
      </c>
      <c r="N15" s="12" t="n">
        <v>9.107</v>
      </c>
      <c r="O15" s="12" t="n">
        <v>443</v>
      </c>
      <c r="P15" s="9" t="n">
        <v>9.107</v>
      </c>
      <c r="Q15" s="9" t="n">
        <v>109.287</v>
      </c>
      <c r="R15" s="12" t="n">
        <v>4.273</v>
      </c>
      <c r="S15" s="12" t="n">
        <v>51.28</v>
      </c>
      <c r="T15" s="30" t="n">
        <v>0.07</v>
      </c>
    </row>
    <row r="16" customFormat="false" ht="15" hidden="false" customHeight="false" outlineLevel="0" collapsed="false">
      <c r="A16" s="5"/>
      <c r="B16" s="29" t="s">
        <v>32</v>
      </c>
      <c r="C16" s="7" t="n">
        <v>119</v>
      </c>
      <c r="D16" s="7" t="n">
        <v>558</v>
      </c>
      <c r="E16" s="8" t="n">
        <v>6694</v>
      </c>
      <c r="F16" s="9" t="n">
        <v>5</v>
      </c>
      <c r="G16" s="10" t="n">
        <v>3.923</v>
      </c>
      <c r="H16" s="10" t="n">
        <v>47.08</v>
      </c>
      <c r="I16" s="11" t="n">
        <v>17</v>
      </c>
      <c r="J16" s="11" t="n">
        <v>117</v>
      </c>
      <c r="K16" s="11" t="n">
        <v>2</v>
      </c>
      <c r="L16" s="12" t="n">
        <v>17</v>
      </c>
      <c r="M16" s="12" t="n">
        <v>117</v>
      </c>
      <c r="N16" s="12" t="n">
        <v>5.922</v>
      </c>
      <c r="O16" s="12" t="n">
        <v>507</v>
      </c>
      <c r="P16" s="9" t="n">
        <v>5.922</v>
      </c>
      <c r="Q16" s="9" t="n">
        <v>71.064</v>
      </c>
      <c r="R16" s="12" t="n">
        <v>3.923</v>
      </c>
      <c r="S16" s="12" t="n">
        <v>47.08</v>
      </c>
      <c r="T16" s="31" t="n">
        <v>0.07</v>
      </c>
    </row>
    <row r="17" customFormat="false" ht="15" hidden="false" customHeight="false" outlineLevel="0" collapsed="false">
      <c r="A17" s="5"/>
      <c r="B17" s="29" t="s">
        <v>33</v>
      </c>
      <c r="C17" s="7" t="n">
        <v>210</v>
      </c>
      <c r="D17" s="7" t="n">
        <v>1.35</v>
      </c>
      <c r="E17" s="8" t="n">
        <v>16199</v>
      </c>
      <c r="F17" s="9" t="n">
        <v>9</v>
      </c>
      <c r="G17" s="10" t="n">
        <v>5.275</v>
      </c>
      <c r="H17" s="10" t="n">
        <v>63.308</v>
      </c>
      <c r="I17" s="11" t="n">
        <v>21</v>
      </c>
      <c r="J17" s="11" t="n">
        <v>200</v>
      </c>
      <c r="K17" s="11" t="n">
        <v>10</v>
      </c>
      <c r="L17" s="12" t="n">
        <v>21</v>
      </c>
      <c r="M17" s="12" t="n">
        <v>208</v>
      </c>
      <c r="N17" s="12" t="n">
        <v>9.355</v>
      </c>
      <c r="O17" s="12" t="n">
        <v>1.282</v>
      </c>
      <c r="P17" s="9" t="n">
        <v>9.355</v>
      </c>
      <c r="Q17" s="9" t="n">
        <v>112.256</v>
      </c>
      <c r="R17" s="12" t="n">
        <v>5.275</v>
      </c>
      <c r="S17" s="12" t="n">
        <v>63.308</v>
      </c>
      <c r="T17" s="32" t="n">
        <v>0.18</v>
      </c>
    </row>
    <row r="18" customFormat="false" ht="15.75" hidden="false" customHeight="false" outlineLevel="0" collapsed="false">
      <c r="A18" s="33" t="s">
        <v>34</v>
      </c>
      <c r="B18" s="34"/>
      <c r="C18" s="35" t="n">
        <f aca="false">SUM(C5:C17)</f>
        <v>1521</v>
      </c>
      <c r="D18" s="35" t="n">
        <f aca="false">SUM(D5:D17)</f>
        <v>6170.35</v>
      </c>
      <c r="E18" s="36" t="n">
        <f aca="false">SUM(E5:E17)</f>
        <v>82690.54</v>
      </c>
      <c r="F18" s="36" t="n">
        <f aca="false">SUM(F5:F17)</f>
        <v>53</v>
      </c>
      <c r="G18" s="37" t="n">
        <f aca="false">SUM(G5:G17)</f>
        <v>38.507</v>
      </c>
      <c r="H18" s="37" t="n">
        <f aca="false">SUM(H5:H17)</f>
        <v>462.129</v>
      </c>
      <c r="I18" s="35" t="n">
        <f aca="false">SUM(I5:I17)</f>
        <v>148</v>
      </c>
      <c r="J18" s="35" t="n">
        <f aca="false">SUM(J5:J17)</f>
        <v>1408</v>
      </c>
      <c r="K18" s="35" t="n">
        <f aca="false">SUM(K5:K17)</f>
        <v>113</v>
      </c>
      <c r="L18" s="35" t="n">
        <f aca="false">SUM(L5:L17)</f>
        <v>148</v>
      </c>
      <c r="M18" s="35" t="n">
        <f aca="false">SUM(M5:M17)</f>
        <v>1494</v>
      </c>
      <c r="N18" s="35" t="n">
        <f aca="false">SUM(N5:N17)</f>
        <v>283.222</v>
      </c>
      <c r="O18" s="35" t="n">
        <f aca="false">SUM(O5:O17)</f>
        <v>5199.282</v>
      </c>
      <c r="P18" s="35" t="n">
        <f aca="false">SUM(P5:P17)</f>
        <v>279.806</v>
      </c>
      <c r="Q18" s="35" t="n">
        <f aca="false">SUM(Q5:Q17)</f>
        <v>896.381</v>
      </c>
      <c r="R18" s="35" t="n">
        <f aca="false">SUM(R5:R17)</f>
        <v>38.507</v>
      </c>
      <c r="S18" s="35" t="n">
        <f aca="false">SUM(S5:S17)</f>
        <v>462.129</v>
      </c>
      <c r="T18" s="38" t="n">
        <f aca="false">SUM(T5:T17)</f>
        <v>1</v>
      </c>
    </row>
  </sheetData>
  <mergeCells count="3">
    <mergeCell ref="A5:A8"/>
    <mergeCell ref="A10:A13"/>
    <mergeCell ref="A15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Windows</dc:creator>
  <dc:description/>
  <dc:language>pt-BR</dc:language>
  <cp:lastModifiedBy/>
  <dcterms:modified xsi:type="dcterms:W3CDTF">2025-11-26T18:29:07Z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