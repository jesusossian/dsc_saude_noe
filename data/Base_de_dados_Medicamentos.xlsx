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ndows\Desktop\Tese - Distribuicao\"/>
    </mc:Choice>
  </mc:AlternateContent>
  <xr:revisionPtr revIDLastSave="0" documentId="8_{6DB03FB5-D23C-4F5E-ADB9-866C2884F53C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Zona Centro do Pais " sheetId="1" r:id="rId1"/>
    <sheet name="Zona Centro Injectaveis Pais " sheetId="2" r:id="rId2"/>
    <sheet name="Zona Norte do Pais Medicamentos" sheetId="3" r:id="rId3"/>
    <sheet name="Zona Norte do Pais Injectavel 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3" i="4" l="1"/>
  <c r="K42" i="4"/>
  <c r="K40" i="4"/>
  <c r="K14" i="4"/>
  <c r="K21" i="1"/>
  <c r="K8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2" i="4"/>
  <c r="K51" i="4"/>
  <c r="K50" i="4"/>
  <c r="K49" i="4"/>
  <c r="K48" i="4"/>
  <c r="K47" i="4"/>
  <c r="K46" i="4"/>
  <c r="K45" i="4"/>
  <c r="K44" i="4"/>
  <c r="K43" i="4"/>
  <c r="K41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3" i="4"/>
  <c r="K12" i="4"/>
  <c r="K11" i="4"/>
  <c r="K10" i="4"/>
  <c r="K9" i="4"/>
  <c r="K7" i="4"/>
  <c r="K6" i="4"/>
  <c r="K5" i="4"/>
  <c r="K4" i="4"/>
  <c r="K3" i="4"/>
  <c r="K24" i="3"/>
  <c r="K11" i="3"/>
  <c r="K4" i="3"/>
  <c r="K28" i="3"/>
  <c r="K27" i="3"/>
  <c r="K26" i="3"/>
  <c r="K25" i="3"/>
  <c r="K23" i="3"/>
  <c r="K22" i="3"/>
  <c r="K21" i="3"/>
  <c r="K20" i="3"/>
  <c r="K19" i="3"/>
  <c r="K18" i="3"/>
  <c r="K17" i="3"/>
  <c r="K16" i="3"/>
  <c r="K15" i="3"/>
  <c r="K14" i="3"/>
  <c r="K13" i="3"/>
  <c r="K12" i="3"/>
  <c r="K10" i="3"/>
  <c r="K9" i="3"/>
  <c r="K8" i="3"/>
  <c r="K7" i="3"/>
  <c r="K6" i="3"/>
  <c r="K5" i="3"/>
  <c r="K3" i="3"/>
  <c r="K30" i="3" s="1"/>
  <c r="K56" i="1"/>
  <c r="K19" i="1"/>
  <c r="K25" i="2"/>
  <c r="K23" i="2"/>
  <c r="K13" i="2"/>
  <c r="K12" i="2"/>
  <c r="K29" i="2"/>
  <c r="K28" i="2"/>
  <c r="K27" i="2"/>
  <c r="K26" i="2"/>
  <c r="K24" i="2"/>
  <c r="K22" i="2"/>
  <c r="K21" i="2"/>
  <c r="K20" i="2"/>
  <c r="K19" i="2"/>
  <c r="K18" i="2"/>
  <c r="K17" i="2"/>
  <c r="K16" i="2"/>
  <c r="K15" i="2"/>
  <c r="K14" i="2"/>
  <c r="K11" i="2"/>
  <c r="K10" i="2"/>
  <c r="K9" i="2"/>
  <c r="K8" i="2"/>
  <c r="K7" i="2"/>
  <c r="K6" i="2"/>
  <c r="K5" i="2"/>
  <c r="K4" i="2"/>
  <c r="K3" i="2"/>
  <c r="K2" i="2"/>
  <c r="K30" i="2" s="1"/>
  <c r="K25" i="1"/>
  <c r="K97" i="1"/>
  <c r="K96" i="1"/>
  <c r="K95" i="1"/>
  <c r="K94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4" i="1"/>
  <c r="K23" i="1"/>
  <c r="K22" i="1"/>
  <c r="K20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79" i="4" l="1"/>
  <c r="K98" i="1"/>
  <c r="K101" i="1" s="1"/>
</calcChain>
</file>

<file path=xl/sharedStrings.xml><?xml version="1.0" encoding="utf-8"?>
<sst xmlns="http://schemas.openxmlformats.org/spreadsheetml/2006/main" count="1597" uniqueCount="355">
  <si>
    <t>#</t>
  </si>
  <si>
    <t>FNM</t>
  </si>
  <si>
    <t>Item description (Eng)</t>
  </si>
  <si>
    <t>Quality standard</t>
  </si>
  <si>
    <t>Preferred packaging/pack</t>
  </si>
  <si>
    <t>Admin</t>
  </si>
  <si>
    <t>Quantidade Total</t>
  </si>
  <si>
    <t>Pais de Origem</t>
  </si>
  <si>
    <t>Fabricante</t>
  </si>
  <si>
    <t>Preco Unitario (USD) - DAP</t>
  </si>
  <si>
    <t>Preco Total DAP BEIRA (USD)</t>
  </si>
  <si>
    <t>01A03</t>
  </si>
  <si>
    <t>Digoxin, inj (0,5mg/2mL)</t>
  </si>
  <si>
    <t>USP; BP</t>
  </si>
  <si>
    <t>10 or 50 amp</t>
  </si>
  <si>
    <t>EV; IM</t>
  </si>
  <si>
    <t>India</t>
  </si>
  <si>
    <t>Pharmax India Private Ltd</t>
  </si>
  <si>
    <t>01B04i</t>
  </si>
  <si>
    <t>Verapamil 80 mg Tablet</t>
  </si>
  <si>
    <t>BP, USP</t>
  </si>
  <si>
    <t>100 tabs</t>
  </si>
  <si>
    <t>Oral</t>
  </si>
  <si>
    <t>Aura Lifecare PVT. LTD</t>
  </si>
  <si>
    <t>01C01Z</t>
  </si>
  <si>
    <t>Hydralazine 20 mg/mL Amp. 5mL Injectable (IV, IM)</t>
  </si>
  <si>
    <t>USP</t>
  </si>
  <si>
    <t>10 Amp</t>
  </si>
  <si>
    <t>(IV, IM)</t>
  </si>
  <si>
    <t>01C04</t>
  </si>
  <si>
    <t>Methyldopa, tabs (250mg)</t>
  </si>
  <si>
    <t>01E02ii</t>
  </si>
  <si>
    <t>Bisoprolol, Tabs (5mg)</t>
  </si>
  <si>
    <t>01F02</t>
  </si>
  <si>
    <t>Nifedipine, caps (30mg)</t>
  </si>
  <si>
    <t>BP</t>
  </si>
  <si>
    <t>Welloma Pharma</t>
  </si>
  <si>
    <t>02A04I</t>
  </si>
  <si>
    <t>Omeprazole, powder for oral liquid (40mg)</t>
  </si>
  <si>
    <t>30 sachets</t>
  </si>
  <si>
    <t>02A05</t>
  </si>
  <si>
    <t>Omeprazol; 40mg/10mL; Inj</t>
  </si>
  <si>
    <t>50 Amp</t>
  </si>
  <si>
    <t>EV</t>
  </si>
  <si>
    <t>02D03</t>
  </si>
  <si>
    <t>Glycerin 1.5g Suppository</t>
  </si>
  <si>
    <t>rectal</t>
  </si>
  <si>
    <t>03A03</t>
  </si>
  <si>
    <t>Hydrocortisone inj (100mg/mL) 2ml</t>
  </si>
  <si>
    <t>Vial</t>
  </si>
  <si>
    <t>03B09</t>
  </si>
  <si>
    <t>Insulin intermed acting (Protaphane), inj (100UI/m</t>
  </si>
  <si>
    <t>Syringe</t>
  </si>
  <si>
    <t>SC</t>
  </si>
  <si>
    <t>03B10</t>
  </si>
  <si>
    <t>Insulin interm biph Mixtard (Actraph70/30), inj</t>
  </si>
  <si>
    <t>03D03</t>
  </si>
  <si>
    <t>Levothyroxine sodium, tabs (50µg)</t>
  </si>
  <si>
    <t>04B05Z</t>
  </si>
  <si>
    <t>Oxitocin  10 UI/mL Amp. 1mL Injection (EV; IM)</t>
  </si>
  <si>
    <t>I.P</t>
  </si>
  <si>
    <t>(EV; IM)</t>
  </si>
  <si>
    <t>04B07Z</t>
  </si>
  <si>
    <t>E.V</t>
  </si>
  <si>
    <t>04C01</t>
  </si>
  <si>
    <t>Bromocripitine 2.5 mg Capsule</t>
  </si>
  <si>
    <t>USP, I.P</t>
  </si>
  <si>
    <t>oral</t>
  </si>
  <si>
    <t>04F03</t>
  </si>
  <si>
    <t>levonor+Ethinyl Microgynon; 0,15mg + 0,03mg tablet</t>
  </si>
  <si>
    <t>1 ciclo</t>
  </si>
  <si>
    <t>05A10</t>
  </si>
  <si>
    <t>Salbutamol, inj (0,5mg/mL)</t>
  </si>
  <si>
    <t>Ampoules</t>
  </si>
  <si>
    <t>05A11</t>
  </si>
  <si>
    <t>Salbutamol nebulizable solution (3mg/ml)</t>
  </si>
  <si>
    <t>1 bottle</t>
  </si>
  <si>
    <t>06A04</t>
  </si>
  <si>
    <t>Iron gluconate syrup (30 g/5 ml</t>
  </si>
  <si>
    <t>1 Bottle</t>
  </si>
  <si>
    <t>06A05</t>
  </si>
  <si>
    <t>Hydroxocobalamin acetate B12, inj (1mg/mL)</t>
  </si>
  <si>
    <t>10 amp</t>
  </si>
  <si>
    <t>07A07Y</t>
  </si>
  <si>
    <t>Paracetamol 250 mg/ 5 mL Fr. 100 mL Oral Suspension</t>
  </si>
  <si>
    <t>07B01</t>
  </si>
  <si>
    <t>Codeine, Tabs (30 mg)</t>
  </si>
  <si>
    <t>-</t>
  </si>
  <si>
    <t>07B04</t>
  </si>
  <si>
    <t>Morphine sulphate, tabs (10mg slow‐release)</t>
  </si>
  <si>
    <t>07B04AN</t>
  </si>
  <si>
    <t>Morphine 10mg Immediate Release Tablets</t>
  </si>
  <si>
    <t>07B08</t>
  </si>
  <si>
    <t>Pethidine 50mg/1mL Amp. 2 mL Injectable (IV; IM)</t>
  </si>
  <si>
    <t>EV;IM</t>
  </si>
  <si>
    <t>07B09</t>
  </si>
  <si>
    <t>Tramadol HCl,  tabs (50mg)</t>
  </si>
  <si>
    <t>07D04</t>
  </si>
  <si>
    <t>Phenytoin 100 mg Tablet</t>
  </si>
  <si>
    <t>300 tabs</t>
  </si>
  <si>
    <t>07D05</t>
  </si>
  <si>
    <t>Phenytoin sodium, inj (250mg/5mL)</t>
  </si>
  <si>
    <t>07D07</t>
  </si>
  <si>
    <t>Phenobarbital, tabs (100mg)</t>
  </si>
  <si>
    <t>1000 tabs</t>
  </si>
  <si>
    <t>07D08</t>
  </si>
  <si>
    <t>Phenobarbital, inj (200mg/2mL)</t>
  </si>
  <si>
    <t>07D13</t>
  </si>
  <si>
    <t>Valproate sodium, tabs (200mg)</t>
  </si>
  <si>
    <t>07D14</t>
  </si>
  <si>
    <t>Valproate sodium, syrup (200mg/5ml)</t>
  </si>
  <si>
    <t>07F01</t>
  </si>
  <si>
    <t>Biperiden, tabs (2 mg)</t>
  </si>
  <si>
    <t>07F02</t>
  </si>
  <si>
    <t>Biperiden lactate, inj (5 mg/1 ml)</t>
  </si>
  <si>
    <t>50 amp</t>
  </si>
  <si>
    <t>I.M; E.V</t>
  </si>
  <si>
    <t>07G03</t>
  </si>
  <si>
    <t>Fluoxetine 20 mg Capsule</t>
  </si>
  <si>
    <t>07G04</t>
  </si>
  <si>
    <t>Imipramine 25 mg Tablet</t>
  </si>
  <si>
    <t>07I06</t>
  </si>
  <si>
    <t>Diazepam, tabs (10mg)</t>
  </si>
  <si>
    <t>50 or 100 tabs</t>
  </si>
  <si>
    <t>07I07</t>
  </si>
  <si>
    <t>Diazepam, inj (10mg/2mL)</t>
  </si>
  <si>
    <t>50 or 100 amp</t>
  </si>
  <si>
    <t>I.M e E.V</t>
  </si>
  <si>
    <t>07J03</t>
  </si>
  <si>
    <t>Chlorpromazine HCl, inj (50mg/2mL)</t>
  </si>
  <si>
    <t>Ampoule 2 ml</t>
  </si>
  <si>
    <t>E.V; I.M</t>
  </si>
  <si>
    <t>07J04</t>
  </si>
  <si>
    <t>Fluphenazine, tabs (2,5mg)</t>
  </si>
  <si>
    <t>07J05Z</t>
  </si>
  <si>
    <t>Fluphenazine 25mg/mL Amp. 1 mL Decanoate Injectable (IM)</t>
  </si>
  <si>
    <t>IM</t>
  </si>
  <si>
    <t>07J07</t>
  </si>
  <si>
    <t>Haloperidol, inj (5mg/mL)</t>
  </si>
  <si>
    <t>I.M, E.V</t>
  </si>
  <si>
    <t>07J07Z</t>
  </si>
  <si>
    <t>Haloperidol 50 mg/mL Amp. 1 mL Injectable (Decanoate)</t>
  </si>
  <si>
    <t>USP;IP</t>
  </si>
  <si>
    <t>07J11</t>
  </si>
  <si>
    <t>Trifluoperazine, tabs (5mg)</t>
  </si>
  <si>
    <t>07J15Z</t>
  </si>
  <si>
    <t>Risperidone 1 mg Tablet</t>
  </si>
  <si>
    <t>60 tabs</t>
  </si>
  <si>
    <t>08F0AN</t>
  </si>
  <si>
    <t>08Q0ZZ</t>
  </si>
  <si>
    <t>Fluconazole 50 mg/5mL Fr. 100 mL Oral suspension</t>
  </si>
  <si>
    <t>09D04</t>
  </si>
  <si>
    <t>Vincristine sulphate, inj (1mg/1mL)</t>
  </si>
  <si>
    <t>09H01</t>
  </si>
  <si>
    <t>Folinic Acid or Calcium Folinate, tabs (15 mg)</t>
  </si>
  <si>
    <t>11A01</t>
  </si>
  <si>
    <t>Sodium bicarbonate 8.4% 1mEq/mL Amp. 10mL Injectable (IV)</t>
  </si>
  <si>
    <t>1 Amp</t>
  </si>
  <si>
    <t>11A02</t>
  </si>
  <si>
    <t>Potassium Chloride 500mg Tablet</t>
  </si>
  <si>
    <t>50 tabs</t>
  </si>
  <si>
    <t>11A07</t>
  </si>
  <si>
    <t>1 PVC Bag</t>
  </si>
  <si>
    <t>11A0XX</t>
  </si>
  <si>
    <t>Water for injections 10 mL Amp. Injectable</t>
  </si>
  <si>
    <t>11A11</t>
  </si>
  <si>
    <t>Polymerized Gelatin, inj (17,5 g/500mL)</t>
  </si>
  <si>
    <t>11A23</t>
  </si>
  <si>
    <t>50 sachets</t>
  </si>
  <si>
    <t>12B04</t>
  </si>
  <si>
    <t>30% glucose 6g/20mL Amp. 20mL Injectable (IV)</t>
  </si>
  <si>
    <t>12C01</t>
  </si>
  <si>
    <t>Calcium Gluconate, Inj, 1gr-10mL (10%) in ampoules of 10ml</t>
  </si>
  <si>
    <t>12D08</t>
  </si>
  <si>
    <t>Vitamin B complex, tabs</t>
  </si>
  <si>
    <t>12D12</t>
  </si>
  <si>
    <t>Nicotinamide 100 mg Tablet</t>
  </si>
  <si>
    <t>12D16i</t>
  </si>
  <si>
    <t>Thiamine (Vitamin B1) 50 mg Tablet</t>
  </si>
  <si>
    <t>12D17</t>
  </si>
  <si>
    <t>Thiamine (Vit B1), inj (100mg/2mL)</t>
  </si>
  <si>
    <t>I.M, E.V,SC</t>
  </si>
  <si>
    <t>13A01</t>
  </si>
  <si>
    <t>Adrenaline, inj (1mg/mL (1:1000)</t>
  </si>
  <si>
    <t>13A01Z</t>
  </si>
  <si>
    <t>Promethazine 25mg/mL Amp. 2 ml Injectable (IM)</t>
  </si>
  <si>
    <t>13A03</t>
  </si>
  <si>
    <t>Chlorpheniramine maleate, syr (2mg/5mL)</t>
  </si>
  <si>
    <t>13A04</t>
  </si>
  <si>
    <t>Diphenhydramine, inj (50mg/5mL)</t>
  </si>
  <si>
    <t>14B02</t>
  </si>
  <si>
    <t>Colchicin, Tabs 0,5mg</t>
  </si>
  <si>
    <t>14C01</t>
  </si>
  <si>
    <t>Menthol + Methyl Salicylate 20g Ointment</t>
  </si>
  <si>
    <t>1 bisnaga</t>
  </si>
  <si>
    <t>Topica externa</t>
  </si>
  <si>
    <t>15B01</t>
  </si>
  <si>
    <t>Betamethasone, Cream (0,1%) 30g</t>
  </si>
  <si>
    <t>Tópico</t>
  </si>
  <si>
    <t>15C03</t>
  </si>
  <si>
    <t>Benzoic acid 6g + Salicy lic acid 3g oinment tube 100g</t>
  </si>
  <si>
    <t>USP;BP</t>
  </si>
  <si>
    <t>1 tube</t>
  </si>
  <si>
    <t>Tópica Externa</t>
  </si>
  <si>
    <t>15C08</t>
  </si>
  <si>
    <t>Clotrimazole 0.01 Tube 30g Cream</t>
  </si>
  <si>
    <t>15C0ZX</t>
  </si>
  <si>
    <t>1 Frasco</t>
  </si>
  <si>
    <t>15C18</t>
  </si>
  <si>
    <t>15D01</t>
  </si>
  <si>
    <t>Salicylic acid, oint (5%)</t>
  </si>
  <si>
    <t>15G01</t>
  </si>
  <si>
    <t>Calamine, lotion 15% 200ml</t>
  </si>
  <si>
    <t>16A01</t>
  </si>
  <si>
    <t>1 ear drop</t>
  </si>
  <si>
    <t>Ear drop</t>
  </si>
  <si>
    <t>17C01</t>
  </si>
  <si>
    <t>Aciclovir 0.03 Tube Oftalmic Ointment</t>
  </si>
  <si>
    <t>1 tubo</t>
  </si>
  <si>
    <t>Eye oinment</t>
  </si>
  <si>
    <t>18B03</t>
  </si>
  <si>
    <t>Propofol, inj (10mg/mL) 20ml</t>
  </si>
  <si>
    <t>18B05</t>
  </si>
  <si>
    <t>Thiopenthal sodium, inj (1g/20mL)</t>
  </si>
  <si>
    <t>18C01</t>
  </si>
  <si>
    <t>Bupivacaine, Hydrochloride 100 mg/20mL Amp. 20mL Injectable (epidural, perineural)</t>
  </si>
  <si>
    <t>Peridural; Perineural</t>
  </si>
  <si>
    <t>18C02</t>
  </si>
  <si>
    <t>Bupivacaine + Injectable Adrenaline 100 mg/20 ml Bupivacaine + Adrenaline 1:200,000 (perforable cork vial)</t>
  </si>
  <si>
    <t>1 vial</t>
  </si>
  <si>
    <t>18C03</t>
  </si>
  <si>
    <t>18D02</t>
  </si>
  <si>
    <t>Pancuronium 4mg/2mL Fr. 10mL Injectable (IV; IM)</t>
  </si>
  <si>
    <t>5 Amp</t>
  </si>
  <si>
    <t>18D04</t>
  </si>
  <si>
    <t>Suxamethonium chloride, inj (100mg/2mL)</t>
  </si>
  <si>
    <t>18F02</t>
  </si>
  <si>
    <t>Ephedrine, inj (50mg/mL)</t>
  </si>
  <si>
    <t>E.V, I.M. S.C</t>
  </si>
  <si>
    <t>18F03</t>
  </si>
  <si>
    <t>Fentanyl 50mcg/ml Amp. 2ml Injectable (IV)</t>
  </si>
  <si>
    <t>18F04</t>
  </si>
  <si>
    <t>Midazolam, inj (15mg/3mL)</t>
  </si>
  <si>
    <t>18F05</t>
  </si>
  <si>
    <t>Neostigmine bromide 0,5mg/ml Injectable</t>
  </si>
  <si>
    <t>19B06</t>
  </si>
  <si>
    <t>Vaccine, Rabies, inj (200UI/ ml)</t>
  </si>
  <si>
    <t>10 Ampoule</t>
  </si>
  <si>
    <t>S.C, I.M</t>
  </si>
  <si>
    <t>20A05</t>
  </si>
  <si>
    <t>Cetrimide + Chlorhexidine 15 g + 1.5 g/100 mL Bottle 5L Solution</t>
  </si>
  <si>
    <t>5L Bidon</t>
  </si>
  <si>
    <t>20A12Z</t>
  </si>
  <si>
    <t>20A14</t>
  </si>
  <si>
    <t>Potassium Permanganate 500 mg Tablet</t>
  </si>
  <si>
    <t>500 tabs</t>
  </si>
  <si>
    <t>20A15</t>
  </si>
  <si>
    <t>USP, BP</t>
  </si>
  <si>
    <t>Tópico Local</t>
  </si>
  <si>
    <t>20A15Z</t>
  </si>
  <si>
    <t>Silver sulfadiazine, cream (1%) (10 mg/g) 50g</t>
  </si>
  <si>
    <t>1 Bisnaga</t>
  </si>
  <si>
    <t>21A10</t>
  </si>
  <si>
    <t>Naloxone HCl, inj (0,4mg/mL)</t>
  </si>
  <si>
    <t>1 dropper</t>
  </si>
  <si>
    <t>Eye drops</t>
  </si>
  <si>
    <t>Propanolol 40 mg Tablet</t>
  </si>
  <si>
    <t>Aura Lifecare PVT.LTD</t>
  </si>
  <si>
    <t>02A06</t>
  </si>
  <si>
    <t>Ranitidine, tabs (150mg)</t>
  </si>
  <si>
    <t>04B04</t>
  </si>
  <si>
    <t>Misoprostol, tabs (200mcg)</t>
  </si>
  <si>
    <t>07A04</t>
  </si>
  <si>
    <t>Paracetamol (1 g/100 ml) ampoule (Inj)</t>
  </si>
  <si>
    <t>07B11</t>
  </si>
  <si>
    <t>Tramadol HCl, inj (100mg/2mL)</t>
  </si>
  <si>
    <t>07G02</t>
  </si>
  <si>
    <t>Amitriptyline HCl, tabs (25mg)</t>
  </si>
  <si>
    <t>08A04</t>
  </si>
  <si>
    <t>I.M profunda</t>
  </si>
  <si>
    <t>08A09</t>
  </si>
  <si>
    <t>500 mg (sal sódico) por frasco</t>
  </si>
  <si>
    <t>08B08ZZ</t>
  </si>
  <si>
    <t>Ceftriaxone 1 g/10 mL Fr. 10 mL Injectable (IV; IM)</t>
  </si>
  <si>
    <t>08F02</t>
  </si>
  <si>
    <t>Azithromycin 200 mg/5 mL Fr. 15 mL Oral Suspension</t>
  </si>
  <si>
    <t>08F03</t>
  </si>
  <si>
    <t>Clarithromycin, tabs (500 mg)</t>
  </si>
  <si>
    <t>08F08</t>
  </si>
  <si>
    <t>Erythromycin, Susp (250mg/5mL 140ml)</t>
  </si>
  <si>
    <t>1 bottle amber</t>
  </si>
  <si>
    <t>08H04</t>
  </si>
  <si>
    <t>Ciprofloxacin, inj 2 mg/ mL (as hyclate)</t>
  </si>
  <si>
    <t>08I03</t>
  </si>
  <si>
    <t>Co-Trimoxazole, susp (240mg/5mL)</t>
  </si>
  <si>
    <t>08K05</t>
  </si>
  <si>
    <t>Metronidazole, inj (500mg/100mL)</t>
  </si>
  <si>
    <t>Perfusão E.V</t>
  </si>
  <si>
    <t>08N01</t>
  </si>
  <si>
    <t>Albendazol 400 mg Tabs</t>
  </si>
  <si>
    <t>08Q04</t>
  </si>
  <si>
    <t>Fluconazole, inj (2mg/mL)</t>
  </si>
  <si>
    <t>08Q0ZX</t>
  </si>
  <si>
    <t>Fluconazole 200 mg Capsule</t>
  </si>
  <si>
    <t>500 Caps</t>
  </si>
  <si>
    <t>10A04Z</t>
  </si>
  <si>
    <t>Furosemide 10 mg/mL Amp.2 mL Injection (IV; IM)</t>
  </si>
  <si>
    <t>10A07</t>
  </si>
  <si>
    <t>Hydrochlorothiazide + Amiloride 50 mg + 5 mg Tablet</t>
  </si>
  <si>
    <t>10A08</t>
  </si>
  <si>
    <t>Manitol, inj (20%) (200mg/mL)</t>
  </si>
  <si>
    <t>1 bottle of 500ml</t>
  </si>
  <si>
    <t>11A09</t>
  </si>
  <si>
    <t>11A15</t>
  </si>
  <si>
    <t>Glucose 1000ml+AD set, inj (5%) (50mg/mL)</t>
  </si>
  <si>
    <t>13A08Z</t>
  </si>
  <si>
    <t>Promethazine HCl, tabs (25mg)</t>
  </si>
  <si>
    <t>14A01</t>
  </si>
  <si>
    <t>Diclofenac, 50mg tabs</t>
  </si>
  <si>
    <t>500 or 1000 tabs</t>
  </si>
  <si>
    <t>14A02</t>
  </si>
  <si>
    <t>Diclofenac, inj (75mg/3mL)</t>
  </si>
  <si>
    <t>I.M</t>
  </si>
  <si>
    <t>15C02</t>
  </si>
  <si>
    <t>Fusidic Acid 0.02 Tube 15g Cream</t>
  </si>
  <si>
    <t>17D03</t>
  </si>
  <si>
    <t>Prednisolone, eye drops (0,5%)</t>
  </si>
  <si>
    <r>
      <t xml:space="preserve">Nota : Todos os Medicamentos Injectáveis na forma Liofilizada (pó) </t>
    </r>
    <r>
      <rPr>
        <b/>
        <u/>
        <sz val="10"/>
        <rFont val="Arial Narrow"/>
        <family val="2"/>
      </rPr>
      <t>devem ser cotados incluindo o respectivo Solvente</t>
    </r>
  </si>
  <si>
    <t>Benzathine benzylpenicillin, inj (2
400 000UI)</t>
  </si>
  <si>
    <t>0.9% sodium chloride
0.009 Fr. 1000mL Injection (IV)</t>
  </si>
  <si>
    <t>VALOR TOTAL</t>
  </si>
  <si>
    <t>Magnesium sulfate 500 mg/ml in
10‐ml ampoule</t>
  </si>
  <si>
    <t>Clarithromycin 250 mg/5mL Fr. 100 mL Oral
Suspension</t>
  </si>
  <si>
    <t>0.9% sodium chloride
0.009 Fr. 250mL Injection (IV)</t>
  </si>
  <si>
    <t>Oral rehydration salts 90mEq sodium+20 mEq KCl /L Oral powder
(Sachet)</t>
  </si>
  <si>
    <t>E.V, I.M,
nebulização</t>
  </si>
  <si>
    <t>Benzyl Benzoate 0.25 Fr.
100mL Lotion</t>
  </si>
  <si>
    <t>Ketoconazole 2%. Fr.
30g Cream</t>
  </si>
  <si>
    <t>Ciprofloxacin 0.003 Fr.
10mL Ear drop</t>
  </si>
  <si>
    <t>Bupivacaine 0.5% with
7.5% glucose, ampoule 4 mL Amp. 4mL Injectable</t>
  </si>
  <si>
    <t>E.V;
Sublingual</t>
  </si>
  <si>
    <t>Povidone-iodine 0.1 Fr.
10mL Solution</t>
  </si>
  <si>
    <t>Silver sulfadiazine, cream (1%) (10 mg/g)
500g</t>
  </si>
  <si>
    <t>E.V, S.C, ou
Infusão E.V, I.M</t>
  </si>
  <si>
    <t>Preco Total DAP NAMPULA (USD)</t>
  </si>
  <si>
    <t>I.M
profunda</t>
  </si>
  <si>
    <t>Ceftriaxone 1 g/10 mL Fr. 10 mL Injectable
(IV; IM)</t>
  </si>
  <si>
    <t>Preco Total (USD) DAP Nampula</t>
  </si>
  <si>
    <t>Wellona Pharma</t>
  </si>
  <si>
    <t>Bupivacaine, Hydrochloride 100 mg/20mL Amp. 20mL Injectable (epidural,
perineural)</t>
  </si>
  <si>
    <t>Cetrimide + Chlorhexidine 15 g + 1.5 g/100 mL Bottle 5L
Solution</t>
  </si>
  <si>
    <t>GRAND TOTAL</t>
  </si>
  <si>
    <t xml:space="preserve">Zona Centro do Pais </t>
  </si>
  <si>
    <t xml:space="preserve">Zona Norte </t>
  </si>
  <si>
    <t xml:space="preserve">Zona NORTE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</si>
</sst>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"/>
    <numFmt numFmtId="166" formatCode="_(* #,##0.0000_);_(* \(#,##0.0000\);_(* &quot;-&quot;??_);_(@_)"/>
    <numFmt numFmtId="167" formatCode="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sz val="10"/>
      <color rgb="FFFFFFFF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11"/>
      <color theme="1"/>
      <name val="Arial Narrow"/>
      <family val="2"/>
    </font>
    <font>
      <b/>
      <u/>
      <sz val="1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5"/>
      </patternFill>
    </fill>
    <fill>
      <patternFill patternType="solid">
        <fgColor theme="4"/>
        <bgColor indexed="64"/>
      </patternFill>
    </fill>
    <fill>
      <patternFill patternType="solid">
        <f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 shrinkToFit="1"/>
    </xf>
    <xf numFmtId="1" fontId="5" fillId="5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horizontal="left" vertical="top" wrapText="1" indent="1"/>
    </xf>
    <xf numFmtId="1" fontId="5" fillId="4" borderId="1" xfId="0" applyNumberFormat="1" applyFont="1" applyFill="1" applyBorder="1" applyAlignment="1">
      <alignment horizontal="right" vertical="center" shrinkToFit="1"/>
    </xf>
    <xf numFmtId="1" fontId="5" fillId="4" borderId="1" xfId="0" applyNumberFormat="1" applyFont="1" applyFill="1" applyBorder="1" applyAlignment="1">
      <alignment horizontal="right" vertical="top" shrinkToFit="1"/>
    </xf>
    <xf numFmtId="0" fontId="2" fillId="6" borderId="1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right" vertical="center" wrapText="1" indent="1"/>
    </xf>
    <xf numFmtId="164" fontId="6" fillId="0" borderId="1" xfId="1" applyFont="1" applyFill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167" fontId="3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 indent="1"/>
    </xf>
    <xf numFmtId="0" fontId="8" fillId="0" borderId="0" xfId="0" applyFont="1" applyAlignment="1">
      <alignment horizontal="right" vertical="top"/>
    </xf>
    <xf numFmtId="0" fontId="3" fillId="7" borderId="1" xfId="0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 shrinkToFit="1"/>
    </xf>
    <xf numFmtId="3" fontId="6" fillId="0" borderId="1" xfId="0" applyNumberFormat="1" applyFont="1" applyBorder="1" applyAlignment="1">
      <alignment horizontal="right" vertical="center" shrinkToFit="1"/>
    </xf>
    <xf numFmtId="0" fontId="10" fillId="0" borderId="1" xfId="0" applyFont="1" applyBorder="1" applyAlignment="1">
      <alignment horizontal="right" vertical="top"/>
    </xf>
    <xf numFmtId="164" fontId="10" fillId="0" borderId="1" xfId="1" applyFont="1" applyFill="1" applyBorder="1" applyAlignment="1">
      <alignment horizontal="left" vertical="top"/>
    </xf>
    <xf numFmtId="1" fontId="6" fillId="0" borderId="1" xfId="0" applyNumberFormat="1" applyFont="1" applyBorder="1" applyAlignment="1">
      <alignment horizontal="center" vertical="center" shrinkToFit="1"/>
    </xf>
    <xf numFmtId="3" fontId="6" fillId="0" borderId="1" xfId="0" applyNumberFormat="1" applyFont="1" applyBorder="1" applyAlignment="1">
      <alignment horizontal="right" vertical="top" shrinkToFit="1"/>
    </xf>
    <xf numFmtId="165" fontId="10" fillId="0" borderId="1" xfId="0" applyNumberFormat="1" applyFont="1" applyBorder="1" applyAlignment="1">
      <alignment horizontal="right" vertical="top"/>
    </xf>
    <xf numFmtId="164" fontId="10" fillId="0" borderId="1" xfId="1" applyFont="1" applyFill="1" applyBorder="1" applyAlignment="1">
      <alignment horizontal="right" vertical="top"/>
    </xf>
    <xf numFmtId="166" fontId="10" fillId="0" borderId="1" xfId="1" applyNumberFormat="1" applyFont="1" applyFill="1" applyBorder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164" fontId="11" fillId="8" borderId="1" xfId="1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164" fontId="3" fillId="8" borderId="1" xfId="0" applyNumberFormat="1" applyFont="1" applyFill="1" applyBorder="1" applyAlignment="1">
      <alignment horizontal="left" vertical="top"/>
    </xf>
    <xf numFmtId="165" fontId="6" fillId="0" borderId="1" xfId="0" applyNumberFormat="1" applyFont="1" applyBorder="1" applyAlignment="1">
      <alignment horizontal="right" vertical="top"/>
    </xf>
    <xf numFmtId="164" fontId="6" fillId="0" borderId="1" xfId="1" applyFont="1" applyFill="1" applyBorder="1" applyAlignment="1">
      <alignment horizontal="right" vertical="top"/>
    </xf>
    <xf numFmtId="1" fontId="6" fillId="0" borderId="1" xfId="0" applyNumberFormat="1" applyFont="1" applyBorder="1" applyAlignment="1">
      <alignment horizontal="center" vertical="top" shrinkToFit="1"/>
    </xf>
    <xf numFmtId="166" fontId="6" fillId="0" borderId="1" xfId="1" applyNumberFormat="1" applyFont="1" applyFill="1" applyBorder="1" applyAlignment="1">
      <alignment horizontal="right" vertical="top"/>
    </xf>
    <xf numFmtId="0" fontId="8" fillId="0" borderId="0" xfId="0" applyFont="1"/>
    <xf numFmtId="3" fontId="4" fillId="0" borderId="1" xfId="0" applyNumberFormat="1" applyFont="1" applyBorder="1" applyAlignment="1">
      <alignment horizontal="right" vertical="center" shrinkToFit="1"/>
    </xf>
    <xf numFmtId="3" fontId="4" fillId="0" borderId="1" xfId="0" applyNumberFormat="1" applyFont="1" applyBorder="1" applyAlignment="1">
      <alignment horizontal="right" vertical="top" shrinkToFit="1"/>
    </xf>
    <xf numFmtId="0" fontId="10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3" fillId="9" borderId="1" xfId="0" applyNumberFormat="1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/>
    </xf>
    <xf numFmtId="1" fontId="5" fillId="4" borderId="0" xfId="0" applyNumberFormat="1" applyFont="1" applyFill="1" applyAlignment="1">
      <alignment horizontal="right" vertical="top" shrinkToFit="1"/>
    </xf>
    <xf numFmtId="0" fontId="6" fillId="0" borderId="0" xfId="0" applyFont="1" applyAlignment="1">
      <alignment horizontal="center" vertical="top" wrapText="1"/>
    </xf>
    <xf numFmtId="164" fontId="6" fillId="0" borderId="1" xfId="1" applyFont="1" applyFill="1" applyBorder="1" applyAlignment="1">
      <alignment horizontal="center" vertical="top"/>
    </xf>
    <xf numFmtId="3" fontId="3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right" vertical="top"/>
    </xf>
    <xf numFmtId="3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center" vertical="top" shrinkToFit="1"/>
    </xf>
    <xf numFmtId="0" fontId="3" fillId="8" borderId="4" xfId="0" applyFont="1" applyFill="1" applyBorder="1" applyAlignment="1">
      <alignment horizontal="center" vertical="top"/>
    </xf>
    <xf numFmtId="0" fontId="3" fillId="8" borderId="5" xfId="0" applyFont="1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 inden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M8" sqref="M8"/>
    </sheetView>
  </sheetViews>
  <sheetFormatPr defaultRowHeight="15" x14ac:dyDescent="0.25"/>
  <cols>
    <col min="1" max="1" width="2.7109375" style="1" customWidth="1"/>
    <col min="2" max="2" width="10.7109375" style="24" customWidth="1"/>
    <col min="3" max="3" width="33.7109375" style="2" customWidth="1"/>
    <col min="4" max="4" width="8.42578125" style="1" customWidth="1"/>
    <col min="5" max="5" width="14.140625" style="1" customWidth="1"/>
    <col min="6" max="6" width="10.140625" style="1" customWidth="1"/>
    <col min="7" max="7" width="10.7109375" style="1" customWidth="1"/>
    <col min="8" max="8" width="10.28515625" style="24" customWidth="1"/>
    <col min="9" max="9" width="19.7109375" style="1" customWidth="1"/>
    <col min="10" max="10" width="11.85546875" style="1" customWidth="1"/>
    <col min="11" max="11" width="15.28515625" style="1" customWidth="1"/>
  </cols>
  <sheetData>
    <row r="1" spans="1:11" x14ac:dyDescent="0.25">
      <c r="B1" s="94" t="s">
        <v>352</v>
      </c>
      <c r="C1" s="94"/>
      <c r="J1" s="93"/>
      <c r="K1" s="93"/>
    </row>
    <row r="2" spans="1:11" ht="25.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6" t="s">
        <v>8</v>
      </c>
      <c r="J2" s="5" t="s">
        <v>9</v>
      </c>
      <c r="K2" s="5" t="s">
        <v>10</v>
      </c>
    </row>
    <row r="3" spans="1:11" x14ac:dyDescent="0.25">
      <c r="A3" s="7">
        <v>1</v>
      </c>
      <c r="B3" s="10" t="s">
        <v>11</v>
      </c>
      <c r="C3" s="11" t="s">
        <v>12</v>
      </c>
      <c r="D3" s="10" t="s">
        <v>13</v>
      </c>
      <c r="E3" s="10" t="s">
        <v>14</v>
      </c>
      <c r="F3" s="10" t="s">
        <v>15</v>
      </c>
      <c r="G3" s="50">
        <v>14500</v>
      </c>
      <c r="H3" s="34" t="s">
        <v>16</v>
      </c>
      <c r="I3" s="26" t="s">
        <v>17</v>
      </c>
      <c r="J3" s="32">
        <v>0.71819999999999995</v>
      </c>
      <c r="K3" s="31">
        <f>+G3*J3</f>
        <v>10413.9</v>
      </c>
    </row>
    <row r="4" spans="1:11" x14ac:dyDescent="0.25">
      <c r="A4" s="7">
        <v>2</v>
      </c>
      <c r="B4" s="10" t="s">
        <v>18</v>
      </c>
      <c r="C4" s="11" t="s">
        <v>19</v>
      </c>
      <c r="D4" s="10" t="s">
        <v>20</v>
      </c>
      <c r="E4" s="10" t="s">
        <v>21</v>
      </c>
      <c r="F4" s="10" t="s">
        <v>22</v>
      </c>
      <c r="G4" s="50">
        <v>47200</v>
      </c>
      <c r="H4" s="34" t="s">
        <v>16</v>
      </c>
      <c r="I4" s="26" t="s">
        <v>23</v>
      </c>
      <c r="J4" s="65">
        <v>3.5000000000000003E-2</v>
      </c>
      <c r="K4" s="31">
        <f>+G4*J4</f>
        <v>1652.0000000000002</v>
      </c>
    </row>
    <row r="5" spans="1:11" ht="25.5" x14ac:dyDescent="0.25">
      <c r="A5" s="7">
        <v>3</v>
      </c>
      <c r="B5" s="10" t="s">
        <v>24</v>
      </c>
      <c r="C5" s="14" t="s">
        <v>25</v>
      </c>
      <c r="D5" s="10" t="s">
        <v>26</v>
      </c>
      <c r="E5" s="10" t="s">
        <v>27</v>
      </c>
      <c r="F5" s="10" t="s">
        <v>28</v>
      </c>
      <c r="G5" s="50">
        <v>37500</v>
      </c>
      <c r="H5" s="34" t="s">
        <v>16</v>
      </c>
      <c r="I5" s="26" t="s">
        <v>23</v>
      </c>
      <c r="J5" s="32">
        <v>0.38</v>
      </c>
      <c r="K5" s="31">
        <f>+G5*J5</f>
        <v>14250</v>
      </c>
    </row>
    <row r="6" spans="1:11" x14ac:dyDescent="0.25">
      <c r="A6" s="8">
        <v>4</v>
      </c>
      <c r="B6" s="10" t="s">
        <v>29</v>
      </c>
      <c r="C6" s="14" t="s">
        <v>30</v>
      </c>
      <c r="D6" s="10" t="s">
        <v>13</v>
      </c>
      <c r="E6" s="53">
        <v>1000</v>
      </c>
      <c r="F6" s="10" t="s">
        <v>22</v>
      </c>
      <c r="G6" s="50">
        <v>1487500</v>
      </c>
      <c r="H6" s="34" t="s">
        <v>16</v>
      </c>
      <c r="I6" s="26" t="s">
        <v>23</v>
      </c>
      <c r="J6" s="32">
        <v>3.5000000000000003E-2</v>
      </c>
      <c r="K6" s="31">
        <f>+G6*J6</f>
        <v>52062.500000000007</v>
      </c>
    </row>
    <row r="7" spans="1:11" x14ac:dyDescent="0.25">
      <c r="A7" s="7">
        <v>5</v>
      </c>
      <c r="B7" s="10" t="s">
        <v>31</v>
      </c>
      <c r="C7" s="11" t="s">
        <v>32</v>
      </c>
      <c r="D7" s="10" t="s">
        <v>13</v>
      </c>
      <c r="E7" s="10" t="s">
        <v>21</v>
      </c>
      <c r="F7" s="10" t="s">
        <v>22</v>
      </c>
      <c r="G7" s="50">
        <v>76700</v>
      </c>
      <c r="H7" s="34" t="s">
        <v>16</v>
      </c>
      <c r="I7" s="26" t="s">
        <v>23</v>
      </c>
      <c r="J7" s="32">
        <v>9.8000000000000004E-2</v>
      </c>
      <c r="K7" s="66">
        <f>+G7*J7</f>
        <v>7516.6</v>
      </c>
    </row>
    <row r="8" spans="1:11" x14ac:dyDescent="0.25">
      <c r="A8" s="7">
        <v>6</v>
      </c>
      <c r="B8" s="10" t="s">
        <v>33</v>
      </c>
      <c r="C8" s="11" t="s">
        <v>34</v>
      </c>
      <c r="D8" s="10" t="s">
        <v>35</v>
      </c>
      <c r="E8" s="10" t="s">
        <v>21</v>
      </c>
      <c r="F8" s="10" t="s">
        <v>22</v>
      </c>
      <c r="G8" s="50">
        <v>1412500</v>
      </c>
      <c r="H8" s="34" t="s">
        <v>16</v>
      </c>
      <c r="I8" s="26" t="s">
        <v>36</v>
      </c>
      <c r="J8" s="32">
        <v>2.4299999999999999E-2</v>
      </c>
      <c r="K8" s="31">
        <f>+G8*J8</f>
        <v>34323.75</v>
      </c>
    </row>
    <row r="9" spans="1:11" x14ac:dyDescent="0.25">
      <c r="A9" s="12">
        <v>7</v>
      </c>
      <c r="B9" s="15" t="s">
        <v>37</v>
      </c>
      <c r="C9" s="14" t="s">
        <v>38</v>
      </c>
      <c r="D9" s="15" t="s">
        <v>13</v>
      </c>
      <c r="E9" s="15" t="s">
        <v>39</v>
      </c>
      <c r="F9" s="15" t="s">
        <v>22</v>
      </c>
      <c r="G9" s="54">
        <v>2900</v>
      </c>
      <c r="H9" s="34" t="s">
        <v>16</v>
      </c>
      <c r="I9" s="26" t="s">
        <v>23</v>
      </c>
      <c r="J9" s="65">
        <v>0.52200000000000002</v>
      </c>
      <c r="K9" s="31">
        <f>+G9*J9</f>
        <v>1513.8</v>
      </c>
    </row>
    <row r="10" spans="1:11" x14ac:dyDescent="0.25">
      <c r="A10" s="12">
        <v>8</v>
      </c>
      <c r="B10" s="15" t="s">
        <v>40</v>
      </c>
      <c r="C10" s="14" t="s">
        <v>41</v>
      </c>
      <c r="D10" s="15" t="s">
        <v>13</v>
      </c>
      <c r="E10" s="15" t="s">
        <v>42</v>
      </c>
      <c r="F10" s="15" t="s">
        <v>43</v>
      </c>
      <c r="G10" s="54">
        <v>140500</v>
      </c>
      <c r="H10" s="34" t="s">
        <v>16</v>
      </c>
      <c r="I10" s="26" t="s">
        <v>36</v>
      </c>
      <c r="J10" s="32">
        <v>0.25869999999999999</v>
      </c>
      <c r="K10" s="31">
        <f>+G10*J10</f>
        <v>36347.35</v>
      </c>
    </row>
    <row r="11" spans="1:11" x14ac:dyDescent="0.25">
      <c r="A11" s="12">
        <v>9</v>
      </c>
      <c r="B11" s="15" t="s">
        <v>44</v>
      </c>
      <c r="C11" s="14" t="s">
        <v>45</v>
      </c>
      <c r="D11" s="15" t="s">
        <v>26</v>
      </c>
      <c r="E11" s="33"/>
      <c r="F11" s="15" t="s">
        <v>46</v>
      </c>
      <c r="G11" s="54">
        <v>4000</v>
      </c>
      <c r="H11" s="34" t="s">
        <v>16</v>
      </c>
      <c r="I11" s="26" t="s">
        <v>23</v>
      </c>
      <c r="J11" s="32">
        <v>0.1069</v>
      </c>
      <c r="K11" s="31">
        <f>+G11*J11</f>
        <v>427.59999999999997</v>
      </c>
    </row>
    <row r="12" spans="1:11" ht="14.45" customHeight="1" x14ac:dyDescent="0.25">
      <c r="A12" s="7">
        <v>10</v>
      </c>
      <c r="B12" s="10" t="s">
        <v>47</v>
      </c>
      <c r="C12" s="14" t="s">
        <v>48</v>
      </c>
      <c r="D12" s="10" t="s">
        <v>13</v>
      </c>
      <c r="E12" s="10" t="s">
        <v>49</v>
      </c>
      <c r="F12" s="10" t="s">
        <v>15</v>
      </c>
      <c r="G12" s="50">
        <v>12500</v>
      </c>
      <c r="H12" s="34" t="s">
        <v>16</v>
      </c>
      <c r="I12" s="26" t="s">
        <v>23</v>
      </c>
      <c r="J12" s="32">
        <v>0.19600000000000001</v>
      </c>
      <c r="K12" s="31">
        <f>+G12*J12</f>
        <v>2450</v>
      </c>
    </row>
    <row r="13" spans="1:11" ht="12.6" customHeight="1" x14ac:dyDescent="0.25">
      <c r="A13" s="7">
        <v>11</v>
      </c>
      <c r="B13" s="10" t="s">
        <v>50</v>
      </c>
      <c r="C13" s="11" t="s">
        <v>51</v>
      </c>
      <c r="D13" s="10" t="s">
        <v>35</v>
      </c>
      <c r="E13" s="10" t="s">
        <v>52</v>
      </c>
      <c r="F13" s="10" t="s">
        <v>53</v>
      </c>
      <c r="G13" s="50">
        <v>14200</v>
      </c>
      <c r="H13" s="34" t="s">
        <v>16</v>
      </c>
      <c r="I13" s="26" t="s">
        <v>23</v>
      </c>
      <c r="J13" s="32">
        <v>3.0552000000000001</v>
      </c>
      <c r="K13" s="31">
        <f>+G13*J13</f>
        <v>43383.840000000004</v>
      </c>
    </row>
    <row r="14" spans="1:11" ht="15" customHeight="1" x14ac:dyDescent="0.25">
      <c r="A14" s="7">
        <v>12</v>
      </c>
      <c r="B14" s="10" t="s">
        <v>54</v>
      </c>
      <c r="C14" s="11" t="s">
        <v>55</v>
      </c>
      <c r="D14" s="10" t="s">
        <v>35</v>
      </c>
      <c r="E14" s="27" t="s">
        <v>52</v>
      </c>
      <c r="F14" s="10" t="s">
        <v>53</v>
      </c>
      <c r="G14" s="50">
        <v>6350</v>
      </c>
      <c r="H14" s="34" t="s">
        <v>16</v>
      </c>
      <c r="I14" s="26" t="s">
        <v>23</v>
      </c>
      <c r="J14" s="32">
        <v>3.1520000000000001</v>
      </c>
      <c r="K14" s="31">
        <f>+G14*J14</f>
        <v>20015.2</v>
      </c>
    </row>
    <row r="15" spans="1:11" x14ac:dyDescent="0.25">
      <c r="A15" s="7">
        <v>13</v>
      </c>
      <c r="B15" s="10" t="s">
        <v>56</v>
      </c>
      <c r="C15" s="14" t="s">
        <v>57</v>
      </c>
      <c r="D15" s="10" t="s">
        <v>13</v>
      </c>
      <c r="E15" s="33"/>
      <c r="F15" s="10" t="s">
        <v>22</v>
      </c>
      <c r="G15" s="50">
        <v>14900</v>
      </c>
      <c r="H15" s="34" t="s">
        <v>16</v>
      </c>
      <c r="I15" s="26" t="s">
        <v>23</v>
      </c>
      <c r="J15" s="32">
        <v>0.82399999999999995</v>
      </c>
      <c r="K15" s="31">
        <f>+G15*J15</f>
        <v>12277.599999999999</v>
      </c>
    </row>
    <row r="16" spans="1:11" ht="17.45" customHeight="1" x14ac:dyDescent="0.25">
      <c r="A16" s="12">
        <v>14</v>
      </c>
      <c r="B16" s="15" t="s">
        <v>58</v>
      </c>
      <c r="C16" s="14" t="s">
        <v>59</v>
      </c>
      <c r="D16" s="15" t="s">
        <v>60</v>
      </c>
      <c r="E16" s="67">
        <v>10</v>
      </c>
      <c r="F16" s="15" t="s">
        <v>61</v>
      </c>
      <c r="G16" s="54">
        <v>476250</v>
      </c>
      <c r="H16" s="34" t="s">
        <v>16</v>
      </c>
      <c r="I16" s="15" t="s">
        <v>23</v>
      </c>
      <c r="J16" s="32">
        <v>4.4499999999999998E-2</v>
      </c>
      <c r="K16" s="31">
        <f>+G16*J16</f>
        <v>21193.125</v>
      </c>
    </row>
    <row r="17" spans="1:11" ht="25.5" x14ac:dyDescent="0.25">
      <c r="A17" s="7">
        <v>15</v>
      </c>
      <c r="B17" s="10" t="s">
        <v>62</v>
      </c>
      <c r="C17" s="14" t="s">
        <v>331</v>
      </c>
      <c r="D17" s="10" t="s">
        <v>13</v>
      </c>
      <c r="E17" s="53">
        <v>5</v>
      </c>
      <c r="F17" s="10" t="s">
        <v>63</v>
      </c>
      <c r="G17" s="50">
        <v>45750</v>
      </c>
      <c r="H17" s="34" t="s">
        <v>16</v>
      </c>
      <c r="I17" s="26" t="s">
        <v>17</v>
      </c>
      <c r="J17" s="32">
        <v>0.28000000000000003</v>
      </c>
      <c r="K17" s="31">
        <f>+G17*J17</f>
        <v>12810.000000000002</v>
      </c>
    </row>
    <row r="18" spans="1:11" x14ac:dyDescent="0.25">
      <c r="A18" s="7">
        <v>16</v>
      </c>
      <c r="B18" s="10" t="s">
        <v>64</v>
      </c>
      <c r="C18" s="14" t="s">
        <v>65</v>
      </c>
      <c r="D18" s="10" t="s">
        <v>66</v>
      </c>
      <c r="E18" s="33"/>
      <c r="F18" s="10" t="s">
        <v>67</v>
      </c>
      <c r="G18" s="50">
        <v>20475</v>
      </c>
      <c r="H18" s="34" t="s">
        <v>16</v>
      </c>
      <c r="I18" s="26" t="s">
        <v>23</v>
      </c>
      <c r="J18" s="32">
        <v>0.19500000000000001</v>
      </c>
      <c r="K18" s="31">
        <f>+G18*J18</f>
        <v>3992.625</v>
      </c>
    </row>
    <row r="19" spans="1:11" ht="25.5" x14ac:dyDescent="0.25">
      <c r="A19" s="12">
        <v>17</v>
      </c>
      <c r="B19" s="15" t="s">
        <v>68</v>
      </c>
      <c r="C19" s="14" t="s">
        <v>69</v>
      </c>
      <c r="D19" s="15" t="s">
        <v>13</v>
      </c>
      <c r="E19" s="29" t="s">
        <v>70</v>
      </c>
      <c r="F19" s="15" t="s">
        <v>22</v>
      </c>
      <c r="G19" s="54">
        <v>39250</v>
      </c>
      <c r="H19" s="34" t="s">
        <v>16</v>
      </c>
      <c r="I19" s="26" t="s">
        <v>23</v>
      </c>
      <c r="J19" s="19">
        <v>0.37459999999999999</v>
      </c>
      <c r="K19" s="31">
        <f>+G19*J19</f>
        <v>14703.05</v>
      </c>
    </row>
    <row r="20" spans="1:11" x14ac:dyDescent="0.25">
      <c r="A20" s="7">
        <v>18</v>
      </c>
      <c r="B20" s="10" t="s">
        <v>71</v>
      </c>
      <c r="C20" s="14" t="s">
        <v>72</v>
      </c>
      <c r="D20" s="10" t="s">
        <v>35</v>
      </c>
      <c r="E20" s="27" t="s">
        <v>73</v>
      </c>
      <c r="F20" s="10" t="s">
        <v>15</v>
      </c>
      <c r="G20" s="50">
        <v>21700</v>
      </c>
      <c r="H20" s="34" t="s">
        <v>16</v>
      </c>
      <c r="I20" s="28" t="s">
        <v>23</v>
      </c>
      <c r="J20" s="32">
        <v>0.1222</v>
      </c>
      <c r="K20" s="31">
        <f>+G20*J20</f>
        <v>2651.7400000000002</v>
      </c>
    </row>
    <row r="21" spans="1:11" x14ac:dyDescent="0.25">
      <c r="A21" s="7">
        <v>19</v>
      </c>
      <c r="B21" s="10" t="s">
        <v>74</v>
      </c>
      <c r="C21" s="14" t="s">
        <v>75</v>
      </c>
      <c r="D21" s="10" t="s">
        <v>35</v>
      </c>
      <c r="E21" s="27" t="s">
        <v>76</v>
      </c>
      <c r="F21" s="33"/>
      <c r="G21" s="50">
        <v>18500</v>
      </c>
      <c r="H21" s="34" t="s">
        <v>16</v>
      </c>
      <c r="I21" s="28" t="s">
        <v>23</v>
      </c>
      <c r="J21" s="32">
        <v>0.35020000000000001</v>
      </c>
      <c r="K21" s="31">
        <f>+G21*J21</f>
        <v>6478.7</v>
      </c>
    </row>
    <row r="22" spans="1:11" ht="15" customHeight="1" x14ac:dyDescent="0.25">
      <c r="A22" s="7">
        <v>20</v>
      </c>
      <c r="B22" s="10" t="s">
        <v>77</v>
      </c>
      <c r="C22" s="14" t="s">
        <v>78</v>
      </c>
      <c r="D22" s="10" t="s">
        <v>13</v>
      </c>
      <c r="E22" s="27" t="s">
        <v>79</v>
      </c>
      <c r="F22" s="10" t="s">
        <v>67</v>
      </c>
      <c r="G22" s="50">
        <v>13650</v>
      </c>
      <c r="H22" s="34" t="s">
        <v>16</v>
      </c>
      <c r="I22" s="26" t="s">
        <v>23</v>
      </c>
      <c r="J22" s="32">
        <v>0.74209999999999998</v>
      </c>
      <c r="K22" s="31">
        <f>+G22*J22</f>
        <v>10129.664999999999</v>
      </c>
    </row>
    <row r="23" spans="1:11" ht="15.6" customHeight="1" x14ac:dyDescent="0.25">
      <c r="A23" s="7">
        <v>21</v>
      </c>
      <c r="B23" s="10" t="s">
        <v>80</v>
      </c>
      <c r="C23" s="14" t="s">
        <v>81</v>
      </c>
      <c r="D23" s="10" t="s">
        <v>13</v>
      </c>
      <c r="E23" s="27" t="s">
        <v>82</v>
      </c>
      <c r="F23" s="10" t="s">
        <v>15</v>
      </c>
      <c r="G23" s="50">
        <v>25000</v>
      </c>
      <c r="H23" s="34" t="s">
        <v>16</v>
      </c>
      <c r="I23" s="28" t="s">
        <v>23</v>
      </c>
      <c r="J23" s="32">
        <v>0.1895</v>
      </c>
      <c r="K23" s="31">
        <f>+G23*J23</f>
        <v>4737.5</v>
      </c>
    </row>
    <row r="24" spans="1:11" ht="25.5" x14ac:dyDescent="0.25">
      <c r="A24" s="7">
        <v>22</v>
      </c>
      <c r="B24" s="10" t="s">
        <v>83</v>
      </c>
      <c r="C24" s="14" t="s">
        <v>84</v>
      </c>
      <c r="D24" s="10" t="s">
        <v>13</v>
      </c>
      <c r="E24" s="27" t="s">
        <v>76</v>
      </c>
      <c r="F24" s="10" t="s">
        <v>22</v>
      </c>
      <c r="G24" s="50">
        <v>987500</v>
      </c>
      <c r="H24" s="34" t="s">
        <v>16</v>
      </c>
      <c r="I24" s="26" t="s">
        <v>23</v>
      </c>
      <c r="J24" s="32">
        <v>0.54300000000000004</v>
      </c>
      <c r="K24" s="31">
        <f>+G24*J24</f>
        <v>536212.5</v>
      </c>
    </row>
    <row r="25" spans="1:11" x14ac:dyDescent="0.25">
      <c r="A25" s="7">
        <v>23</v>
      </c>
      <c r="B25" s="10" t="s">
        <v>85</v>
      </c>
      <c r="C25" s="11" t="s">
        <v>86</v>
      </c>
      <c r="D25" s="10" t="s">
        <v>13</v>
      </c>
      <c r="E25" s="30" t="s">
        <v>87</v>
      </c>
      <c r="F25" s="10" t="s">
        <v>13</v>
      </c>
      <c r="G25" s="50">
        <v>434750</v>
      </c>
      <c r="H25" s="34"/>
      <c r="I25" s="26"/>
      <c r="J25" s="66">
        <v>0</v>
      </c>
      <c r="K25" s="83">
        <f>+G25*J25</f>
        <v>0</v>
      </c>
    </row>
    <row r="26" spans="1:11" x14ac:dyDescent="0.25">
      <c r="A26" s="7">
        <v>24</v>
      </c>
      <c r="B26" s="10" t="s">
        <v>88</v>
      </c>
      <c r="C26" s="14" t="s">
        <v>89</v>
      </c>
      <c r="D26" s="10" t="s">
        <v>35</v>
      </c>
      <c r="E26" s="27" t="s">
        <v>21</v>
      </c>
      <c r="F26" s="10" t="s">
        <v>22</v>
      </c>
      <c r="G26" s="50">
        <v>107750</v>
      </c>
      <c r="H26" s="34" t="s">
        <v>16</v>
      </c>
      <c r="I26" s="28" t="s">
        <v>23</v>
      </c>
      <c r="J26" s="32">
        <v>0.28499999999999998</v>
      </c>
      <c r="K26" s="31">
        <f>+G26*J26</f>
        <v>30708.749999999996</v>
      </c>
    </row>
    <row r="27" spans="1:11" x14ac:dyDescent="0.25">
      <c r="A27" s="7">
        <v>25</v>
      </c>
      <c r="B27" s="10" t="s">
        <v>90</v>
      </c>
      <c r="C27" s="14" t="s">
        <v>91</v>
      </c>
      <c r="D27" s="10" t="s">
        <v>13</v>
      </c>
      <c r="E27" s="27" t="s">
        <v>21</v>
      </c>
      <c r="F27" s="10" t="s">
        <v>22</v>
      </c>
      <c r="G27" s="50">
        <v>93900</v>
      </c>
      <c r="H27" s="34" t="s">
        <v>16</v>
      </c>
      <c r="I27" s="28" t="s">
        <v>23</v>
      </c>
      <c r="J27" s="32">
        <v>0.85</v>
      </c>
      <c r="K27" s="31">
        <f>+G27*J27</f>
        <v>79815</v>
      </c>
    </row>
    <row r="28" spans="1:11" ht="25.5" x14ac:dyDescent="0.25">
      <c r="A28" s="7">
        <v>26</v>
      </c>
      <c r="B28" s="10" t="s">
        <v>92</v>
      </c>
      <c r="C28" s="14" t="s">
        <v>93</v>
      </c>
      <c r="D28" s="10" t="s">
        <v>13</v>
      </c>
      <c r="E28" s="53">
        <v>10</v>
      </c>
      <c r="F28" s="10" t="s">
        <v>94</v>
      </c>
      <c r="G28" s="50">
        <v>3800</v>
      </c>
      <c r="H28" s="34" t="s">
        <v>16</v>
      </c>
      <c r="I28" s="28" t="s">
        <v>23</v>
      </c>
      <c r="J28" s="32">
        <v>4.7553999999999998</v>
      </c>
      <c r="K28" s="31">
        <f>+G28*J28</f>
        <v>18070.52</v>
      </c>
    </row>
    <row r="29" spans="1:11" x14ac:dyDescent="0.25">
      <c r="A29" s="12">
        <v>27</v>
      </c>
      <c r="B29" s="15" t="s">
        <v>95</v>
      </c>
      <c r="C29" s="14" t="s">
        <v>96</v>
      </c>
      <c r="D29" s="15" t="s">
        <v>26</v>
      </c>
      <c r="E29" s="29" t="s">
        <v>21</v>
      </c>
      <c r="F29" s="15" t="s">
        <v>22</v>
      </c>
      <c r="G29" s="54">
        <v>948500</v>
      </c>
      <c r="H29" s="34" t="s">
        <v>16</v>
      </c>
      <c r="I29" s="26" t="s">
        <v>23</v>
      </c>
      <c r="J29" s="32">
        <v>2.5999999999999999E-3</v>
      </c>
      <c r="K29" s="31">
        <f>+G29*J29</f>
        <v>2466.1</v>
      </c>
    </row>
    <row r="30" spans="1:11" x14ac:dyDescent="0.25">
      <c r="A30" s="7">
        <v>28</v>
      </c>
      <c r="B30" s="10" t="s">
        <v>97</v>
      </c>
      <c r="C30" s="11" t="s">
        <v>98</v>
      </c>
      <c r="D30" s="10" t="s">
        <v>13</v>
      </c>
      <c r="E30" s="10" t="s">
        <v>99</v>
      </c>
      <c r="F30" s="10" t="s">
        <v>22</v>
      </c>
      <c r="G30" s="50">
        <v>1412500</v>
      </c>
      <c r="H30" s="34" t="s">
        <v>16</v>
      </c>
      <c r="I30" s="28" t="s">
        <v>23</v>
      </c>
      <c r="J30" s="32">
        <v>1.3299999999999999E-2</v>
      </c>
      <c r="K30" s="31">
        <f>+G30*J30</f>
        <v>18786.25</v>
      </c>
    </row>
    <row r="31" spans="1:11" x14ac:dyDescent="0.25">
      <c r="A31" s="7">
        <v>29</v>
      </c>
      <c r="B31" s="10" t="s">
        <v>100</v>
      </c>
      <c r="C31" s="14" t="s">
        <v>101</v>
      </c>
      <c r="D31" s="10" t="s">
        <v>35</v>
      </c>
      <c r="E31" s="10" t="s">
        <v>27</v>
      </c>
      <c r="F31" s="10" t="s">
        <v>43</v>
      </c>
      <c r="G31" s="50">
        <v>14750</v>
      </c>
      <c r="H31" s="34" t="s">
        <v>16</v>
      </c>
      <c r="I31" s="28" t="s">
        <v>23</v>
      </c>
      <c r="J31" s="32">
        <v>0.152</v>
      </c>
      <c r="K31" s="31">
        <f>+G31*J31</f>
        <v>2242</v>
      </c>
    </row>
    <row r="32" spans="1:11" x14ac:dyDescent="0.25">
      <c r="A32" s="7">
        <v>30</v>
      </c>
      <c r="B32" s="10" t="s">
        <v>102</v>
      </c>
      <c r="C32" s="14" t="s">
        <v>103</v>
      </c>
      <c r="D32" s="10" t="s">
        <v>35</v>
      </c>
      <c r="E32" s="10" t="s">
        <v>104</v>
      </c>
      <c r="F32" s="10" t="s">
        <v>22</v>
      </c>
      <c r="G32" s="50">
        <v>3700000</v>
      </c>
      <c r="H32" s="34" t="s">
        <v>16</v>
      </c>
      <c r="I32" s="28" t="s">
        <v>23</v>
      </c>
      <c r="J32" s="65">
        <v>0.14430000000000001</v>
      </c>
      <c r="K32" s="31">
        <f>+G32*J32</f>
        <v>533910</v>
      </c>
    </row>
    <row r="33" spans="1:11" x14ac:dyDescent="0.25">
      <c r="A33" s="7">
        <v>31</v>
      </c>
      <c r="B33" s="10" t="s">
        <v>105</v>
      </c>
      <c r="C33" s="14" t="s">
        <v>106</v>
      </c>
      <c r="D33" s="10" t="s">
        <v>35</v>
      </c>
      <c r="E33" s="10" t="s">
        <v>27</v>
      </c>
      <c r="F33" s="10" t="s">
        <v>43</v>
      </c>
      <c r="G33" s="50">
        <v>48250</v>
      </c>
      <c r="H33" s="34" t="s">
        <v>16</v>
      </c>
      <c r="I33" s="28" t="s">
        <v>23</v>
      </c>
      <c r="J33" s="32">
        <v>5.6800000000000003E-2</v>
      </c>
      <c r="K33" s="31">
        <f>+G33*J33</f>
        <v>2740.6000000000004</v>
      </c>
    </row>
    <row r="34" spans="1:11" x14ac:dyDescent="0.25">
      <c r="A34" s="7">
        <v>32</v>
      </c>
      <c r="B34" s="10" t="s">
        <v>107</v>
      </c>
      <c r="C34" s="14" t="s">
        <v>108</v>
      </c>
      <c r="D34" s="10" t="s">
        <v>35</v>
      </c>
      <c r="E34" s="10" t="s">
        <v>104</v>
      </c>
      <c r="F34" s="10" t="s">
        <v>22</v>
      </c>
      <c r="G34" s="50">
        <v>797500</v>
      </c>
      <c r="H34" s="34" t="s">
        <v>16</v>
      </c>
      <c r="I34" s="26" t="s">
        <v>23</v>
      </c>
      <c r="J34" s="32">
        <v>2.4199999999999999E-2</v>
      </c>
      <c r="K34" s="31">
        <f>+G34*J34</f>
        <v>19299.5</v>
      </c>
    </row>
    <row r="35" spans="1:11" x14ac:dyDescent="0.25">
      <c r="A35" s="7">
        <v>33</v>
      </c>
      <c r="B35" s="10" t="s">
        <v>109</v>
      </c>
      <c r="C35" s="14" t="s">
        <v>110</v>
      </c>
      <c r="D35" s="10" t="s">
        <v>13</v>
      </c>
      <c r="E35" s="10" t="s">
        <v>76</v>
      </c>
      <c r="F35" s="10" t="s">
        <v>22</v>
      </c>
      <c r="G35" s="50">
        <v>29500</v>
      </c>
      <c r="H35" s="34" t="s">
        <v>16</v>
      </c>
      <c r="I35" s="26" t="s">
        <v>36</v>
      </c>
      <c r="J35" s="32">
        <v>0.58450000000000002</v>
      </c>
      <c r="K35" s="31">
        <f>+G35*J35</f>
        <v>17242.75</v>
      </c>
    </row>
    <row r="36" spans="1:11" x14ac:dyDescent="0.25">
      <c r="A36" s="12">
        <v>34</v>
      </c>
      <c r="B36" s="15" t="s">
        <v>111</v>
      </c>
      <c r="C36" s="14" t="s">
        <v>112</v>
      </c>
      <c r="D36" s="15" t="s">
        <v>13</v>
      </c>
      <c r="E36" s="15" t="s">
        <v>21</v>
      </c>
      <c r="F36" s="15" t="s">
        <v>22</v>
      </c>
      <c r="G36" s="54">
        <v>2058500</v>
      </c>
      <c r="H36" s="34" t="s">
        <v>16</v>
      </c>
      <c r="I36" s="28" t="s">
        <v>23</v>
      </c>
      <c r="J36" s="32">
        <v>3.09E-2</v>
      </c>
      <c r="K36" s="31">
        <f>+G36*J36</f>
        <v>63607.65</v>
      </c>
    </row>
    <row r="37" spans="1:11" x14ac:dyDescent="0.25">
      <c r="A37" s="12">
        <v>35</v>
      </c>
      <c r="B37" s="15" t="s">
        <v>113</v>
      </c>
      <c r="C37" s="14" t="s">
        <v>114</v>
      </c>
      <c r="D37" s="15" t="s">
        <v>26</v>
      </c>
      <c r="E37" s="15" t="s">
        <v>115</v>
      </c>
      <c r="F37" s="17" t="s">
        <v>116</v>
      </c>
      <c r="G37" s="54">
        <v>45250</v>
      </c>
      <c r="H37" s="34" t="s">
        <v>16</v>
      </c>
      <c r="I37" s="28" t="s">
        <v>17</v>
      </c>
      <c r="J37" s="32">
        <v>0.43919999999999998</v>
      </c>
      <c r="K37" s="31">
        <f>+G37*J37</f>
        <v>19873.8</v>
      </c>
    </row>
    <row r="38" spans="1:11" x14ac:dyDescent="0.25">
      <c r="A38" s="12">
        <v>36</v>
      </c>
      <c r="B38" s="15" t="s">
        <v>117</v>
      </c>
      <c r="C38" s="14" t="s">
        <v>118</v>
      </c>
      <c r="D38" s="15" t="s">
        <v>13</v>
      </c>
      <c r="E38" s="15" t="s">
        <v>21</v>
      </c>
      <c r="F38" s="15" t="s">
        <v>22</v>
      </c>
      <c r="G38" s="54">
        <v>199250</v>
      </c>
      <c r="H38" s="34" t="s">
        <v>16</v>
      </c>
      <c r="I38" s="26" t="s">
        <v>36</v>
      </c>
      <c r="J38" s="32">
        <v>2.1399999999999999E-2</v>
      </c>
      <c r="K38" s="31">
        <f>+G38*J38</f>
        <v>4263.95</v>
      </c>
    </row>
    <row r="39" spans="1:11" x14ac:dyDescent="0.25">
      <c r="A39" s="12">
        <v>37</v>
      </c>
      <c r="B39" s="15" t="s">
        <v>119</v>
      </c>
      <c r="C39" s="14" t="s">
        <v>120</v>
      </c>
      <c r="D39" s="15" t="s">
        <v>13</v>
      </c>
      <c r="E39" s="15" t="s">
        <v>21</v>
      </c>
      <c r="F39" s="15" t="s">
        <v>22</v>
      </c>
      <c r="G39" s="54">
        <v>20125</v>
      </c>
      <c r="H39" s="34" t="s">
        <v>16</v>
      </c>
      <c r="I39" s="26" t="s">
        <v>23</v>
      </c>
      <c r="J39" s="32">
        <v>7.5200000000000003E-2</v>
      </c>
      <c r="K39" s="31">
        <f>+G39*J39</f>
        <v>1513.4</v>
      </c>
    </row>
    <row r="40" spans="1:11" x14ac:dyDescent="0.25">
      <c r="A40" s="12">
        <v>38</v>
      </c>
      <c r="B40" s="15" t="s">
        <v>121</v>
      </c>
      <c r="C40" s="14" t="s">
        <v>122</v>
      </c>
      <c r="D40" s="15" t="s">
        <v>13</v>
      </c>
      <c r="E40" s="15" t="s">
        <v>123</v>
      </c>
      <c r="F40" s="15" t="s">
        <v>22</v>
      </c>
      <c r="G40" s="54">
        <v>55000</v>
      </c>
      <c r="H40" s="34" t="s">
        <v>16</v>
      </c>
      <c r="I40" s="28" t="s">
        <v>23</v>
      </c>
      <c r="J40" s="32">
        <v>6.5000000000000002E-2</v>
      </c>
      <c r="K40" s="31">
        <f>+G40*J40</f>
        <v>3575</v>
      </c>
    </row>
    <row r="41" spans="1:11" x14ac:dyDescent="0.25">
      <c r="A41" s="12">
        <v>39</v>
      </c>
      <c r="B41" s="15" t="s">
        <v>124</v>
      </c>
      <c r="C41" s="14" t="s">
        <v>125</v>
      </c>
      <c r="D41" s="15" t="s">
        <v>13</v>
      </c>
      <c r="E41" s="15" t="s">
        <v>126</v>
      </c>
      <c r="F41" s="17" t="s">
        <v>127</v>
      </c>
      <c r="G41" s="54">
        <v>38000</v>
      </c>
      <c r="H41" s="34" t="s">
        <v>16</v>
      </c>
      <c r="I41" s="26" t="s">
        <v>17</v>
      </c>
      <c r="J41" s="32">
        <v>0.8982</v>
      </c>
      <c r="K41" s="31">
        <f>+G41*J41</f>
        <v>34131.599999999999</v>
      </c>
    </row>
    <row r="42" spans="1:11" x14ac:dyDescent="0.25">
      <c r="A42" s="7">
        <v>40</v>
      </c>
      <c r="B42" s="10" t="s">
        <v>128</v>
      </c>
      <c r="C42" s="14" t="s">
        <v>129</v>
      </c>
      <c r="D42" s="10" t="s">
        <v>35</v>
      </c>
      <c r="E42" s="10" t="s">
        <v>130</v>
      </c>
      <c r="F42" s="30" t="s">
        <v>131</v>
      </c>
      <c r="G42" s="50">
        <v>36750</v>
      </c>
      <c r="H42" s="34" t="s">
        <v>16</v>
      </c>
      <c r="I42" s="28" t="s">
        <v>23</v>
      </c>
      <c r="J42" s="32">
        <v>5.1499999999999997E-2</v>
      </c>
      <c r="K42" s="31">
        <f>+G42*J42</f>
        <v>1892.625</v>
      </c>
    </row>
    <row r="43" spans="1:11" x14ac:dyDescent="0.25">
      <c r="A43" s="12">
        <v>41</v>
      </c>
      <c r="B43" s="15" t="s">
        <v>132</v>
      </c>
      <c r="C43" s="14" t="s">
        <v>133</v>
      </c>
      <c r="D43" s="15" t="s">
        <v>35</v>
      </c>
      <c r="E43" s="15" t="s">
        <v>123</v>
      </c>
      <c r="F43" s="15" t="s">
        <v>22</v>
      </c>
      <c r="G43" s="54">
        <v>262500</v>
      </c>
      <c r="H43" s="34" t="s">
        <v>16</v>
      </c>
      <c r="I43" s="28" t="s">
        <v>23</v>
      </c>
      <c r="J43" s="32">
        <v>1.6E-2</v>
      </c>
      <c r="K43" s="31">
        <f>+G43*J43</f>
        <v>4200</v>
      </c>
    </row>
    <row r="44" spans="1:11" ht="25.5" x14ac:dyDescent="0.25">
      <c r="A44" s="12">
        <v>42</v>
      </c>
      <c r="B44" s="15" t="s">
        <v>134</v>
      </c>
      <c r="C44" s="14" t="s">
        <v>135</v>
      </c>
      <c r="D44" s="15" t="s">
        <v>13</v>
      </c>
      <c r="E44" s="15" t="s">
        <v>27</v>
      </c>
      <c r="F44" s="15" t="s">
        <v>136</v>
      </c>
      <c r="G44" s="54">
        <v>60750</v>
      </c>
      <c r="H44" s="34" t="s">
        <v>16</v>
      </c>
      <c r="I44" s="26" t="s">
        <v>36</v>
      </c>
      <c r="J44" s="32">
        <v>0.1406</v>
      </c>
      <c r="K44" s="31">
        <f>+G44*J44</f>
        <v>8541.4500000000007</v>
      </c>
    </row>
    <row r="45" spans="1:11" x14ac:dyDescent="0.25">
      <c r="A45" s="12">
        <v>43</v>
      </c>
      <c r="B45" s="15" t="s">
        <v>137</v>
      </c>
      <c r="C45" s="14" t="s">
        <v>138</v>
      </c>
      <c r="D45" s="15" t="s">
        <v>13</v>
      </c>
      <c r="E45" s="15" t="s">
        <v>73</v>
      </c>
      <c r="F45" s="17" t="s">
        <v>139</v>
      </c>
      <c r="G45" s="54">
        <v>82750</v>
      </c>
      <c r="H45" s="34" t="s">
        <v>16</v>
      </c>
      <c r="I45" s="26" t="s">
        <v>36</v>
      </c>
      <c r="J45" s="32">
        <v>0.15659999999999999</v>
      </c>
      <c r="K45" s="31">
        <f>+G45*J45</f>
        <v>12958.65</v>
      </c>
    </row>
    <row r="46" spans="1:11" ht="25.5" x14ac:dyDescent="0.25">
      <c r="A46" s="7">
        <v>44</v>
      </c>
      <c r="B46" s="10" t="s">
        <v>140</v>
      </c>
      <c r="C46" s="14" t="s">
        <v>141</v>
      </c>
      <c r="D46" s="10" t="s">
        <v>142</v>
      </c>
      <c r="E46" s="10" t="s">
        <v>27</v>
      </c>
      <c r="F46" s="10" t="s">
        <v>43</v>
      </c>
      <c r="G46" s="50">
        <v>189750</v>
      </c>
      <c r="H46" s="34" t="s">
        <v>16</v>
      </c>
      <c r="I46" s="26" t="s">
        <v>36</v>
      </c>
      <c r="J46" s="32">
        <v>0.64559999999999995</v>
      </c>
      <c r="K46" s="31">
        <f>+G46*J46</f>
        <v>122502.59999999999</v>
      </c>
    </row>
    <row r="47" spans="1:11" x14ac:dyDescent="0.25">
      <c r="A47" s="12">
        <v>45</v>
      </c>
      <c r="B47" s="15" t="s">
        <v>143</v>
      </c>
      <c r="C47" s="14" t="s">
        <v>144</v>
      </c>
      <c r="D47" s="15" t="s">
        <v>142</v>
      </c>
      <c r="E47" s="15" t="s">
        <v>123</v>
      </c>
      <c r="F47" s="15" t="s">
        <v>22</v>
      </c>
      <c r="G47" s="54">
        <v>209000</v>
      </c>
      <c r="H47" s="34" t="s">
        <v>16</v>
      </c>
      <c r="I47" s="26" t="s">
        <v>23</v>
      </c>
      <c r="J47" s="32">
        <v>8.5000000000000006E-3</v>
      </c>
      <c r="K47" s="31">
        <f>+G47*J47</f>
        <v>1776.5000000000002</v>
      </c>
    </row>
    <row r="48" spans="1:11" x14ac:dyDescent="0.25">
      <c r="A48" s="12">
        <v>46</v>
      </c>
      <c r="B48" s="15" t="s">
        <v>145</v>
      </c>
      <c r="C48" s="14" t="s">
        <v>146</v>
      </c>
      <c r="D48" s="15" t="s">
        <v>13</v>
      </c>
      <c r="E48" s="15" t="s">
        <v>147</v>
      </c>
      <c r="F48" s="15" t="s">
        <v>22</v>
      </c>
      <c r="G48" s="54">
        <v>770000</v>
      </c>
      <c r="H48" s="34" t="s">
        <v>16</v>
      </c>
      <c r="I48" s="26" t="s">
        <v>23</v>
      </c>
      <c r="J48" s="65">
        <v>5.6000000000000001E-2</v>
      </c>
      <c r="K48" s="31">
        <f>+G48*J48</f>
        <v>43120</v>
      </c>
    </row>
    <row r="49" spans="1:11" ht="25.5" x14ac:dyDescent="0.25">
      <c r="A49" s="7">
        <v>47</v>
      </c>
      <c r="B49" s="10" t="s">
        <v>148</v>
      </c>
      <c r="C49" s="14" t="s">
        <v>332</v>
      </c>
      <c r="D49" s="10" t="s">
        <v>142</v>
      </c>
      <c r="E49" s="10" t="s">
        <v>76</v>
      </c>
      <c r="F49" s="10" t="s">
        <v>22</v>
      </c>
      <c r="G49" s="50">
        <v>4575</v>
      </c>
      <c r="H49" s="34" t="s">
        <v>16</v>
      </c>
      <c r="I49" s="26" t="s">
        <v>36</v>
      </c>
      <c r="J49" s="32">
        <v>0.27379999999999999</v>
      </c>
      <c r="K49" s="31">
        <f>+G49*J49</f>
        <v>1252.635</v>
      </c>
    </row>
    <row r="50" spans="1:11" ht="25.5" x14ac:dyDescent="0.25">
      <c r="A50" s="7">
        <v>48</v>
      </c>
      <c r="B50" s="10" t="s">
        <v>149</v>
      </c>
      <c r="C50" s="14" t="s">
        <v>150</v>
      </c>
      <c r="D50" s="10" t="s">
        <v>26</v>
      </c>
      <c r="E50" s="10" t="s">
        <v>76</v>
      </c>
      <c r="F50" s="10" t="s">
        <v>22</v>
      </c>
      <c r="G50" s="50">
        <v>10100</v>
      </c>
      <c r="H50" s="34" t="s">
        <v>16</v>
      </c>
      <c r="I50" s="28" t="s">
        <v>23</v>
      </c>
      <c r="J50" s="32">
        <v>0.45119999999999999</v>
      </c>
      <c r="K50" s="31">
        <f>+G50*J50</f>
        <v>4557.12</v>
      </c>
    </row>
    <row r="51" spans="1:11" x14ac:dyDescent="0.25">
      <c r="A51" s="7">
        <v>49</v>
      </c>
      <c r="B51" s="10" t="s">
        <v>151</v>
      </c>
      <c r="C51" s="11" t="s">
        <v>152</v>
      </c>
      <c r="D51" s="10" t="s">
        <v>13</v>
      </c>
      <c r="E51" s="10" t="s">
        <v>49</v>
      </c>
      <c r="F51" s="10" t="s">
        <v>63</v>
      </c>
      <c r="G51" s="50">
        <v>4775</v>
      </c>
      <c r="H51" s="34" t="s">
        <v>16</v>
      </c>
      <c r="I51" s="28" t="s">
        <v>23</v>
      </c>
      <c r="J51" s="68">
        <v>2.4447000000000001</v>
      </c>
      <c r="K51" s="31">
        <f>+G51*J51</f>
        <v>11673.442500000001</v>
      </c>
    </row>
    <row r="52" spans="1:11" x14ac:dyDescent="0.25">
      <c r="A52" s="7">
        <v>50</v>
      </c>
      <c r="B52" s="10" t="s">
        <v>153</v>
      </c>
      <c r="C52" s="14" t="s">
        <v>154</v>
      </c>
      <c r="D52" s="10" t="s">
        <v>13</v>
      </c>
      <c r="E52" s="10" t="s">
        <v>147</v>
      </c>
      <c r="F52" s="10" t="s">
        <v>22</v>
      </c>
      <c r="G52" s="50">
        <v>6825</v>
      </c>
      <c r="H52" s="34" t="s">
        <v>16</v>
      </c>
      <c r="I52" s="26" t="s">
        <v>23</v>
      </c>
      <c r="J52" s="32">
        <v>0.50019999999999998</v>
      </c>
      <c r="K52" s="31">
        <f>+G52*J52</f>
        <v>3413.8649999999998</v>
      </c>
    </row>
    <row r="53" spans="1:11" ht="25.5" x14ac:dyDescent="0.25">
      <c r="A53" s="12">
        <v>51</v>
      </c>
      <c r="B53" s="15" t="s">
        <v>155</v>
      </c>
      <c r="C53" s="14" t="s">
        <v>156</v>
      </c>
      <c r="D53" s="15" t="s">
        <v>26</v>
      </c>
      <c r="E53" s="15" t="s">
        <v>157</v>
      </c>
      <c r="F53" s="15" t="s">
        <v>43</v>
      </c>
      <c r="G53" s="54">
        <v>21250</v>
      </c>
      <c r="H53" s="34" t="s">
        <v>16</v>
      </c>
      <c r="I53" s="28" t="s">
        <v>23</v>
      </c>
      <c r="J53" s="32">
        <v>0.64449999999999996</v>
      </c>
      <c r="K53" s="31">
        <f>+G53*J53</f>
        <v>13695.625</v>
      </c>
    </row>
    <row r="54" spans="1:11" x14ac:dyDescent="0.25">
      <c r="A54" s="12">
        <v>52</v>
      </c>
      <c r="B54" s="15" t="s">
        <v>158</v>
      </c>
      <c r="C54" s="14" t="s">
        <v>159</v>
      </c>
      <c r="D54" s="15" t="s">
        <v>13</v>
      </c>
      <c r="E54" s="15" t="s">
        <v>160</v>
      </c>
      <c r="F54" s="15" t="s">
        <v>22</v>
      </c>
      <c r="G54" s="54">
        <v>43375</v>
      </c>
      <c r="H54" s="34" t="s">
        <v>16</v>
      </c>
      <c r="I54" s="26" t="s">
        <v>23</v>
      </c>
      <c r="J54" s="32">
        <v>0.15840000000000001</v>
      </c>
      <c r="K54" s="31">
        <f>+G54*J54</f>
        <v>6870.6</v>
      </c>
    </row>
    <row r="55" spans="1:11" ht="25.5" x14ac:dyDescent="0.25">
      <c r="A55" s="12">
        <v>53</v>
      </c>
      <c r="B55" s="15" t="s">
        <v>161</v>
      </c>
      <c r="C55" s="14" t="s">
        <v>333</v>
      </c>
      <c r="D55" s="15" t="s">
        <v>26</v>
      </c>
      <c r="E55" s="15" t="s">
        <v>162</v>
      </c>
      <c r="F55" s="15" t="s">
        <v>43</v>
      </c>
      <c r="G55" s="54">
        <v>102500</v>
      </c>
      <c r="H55" s="34" t="s">
        <v>16</v>
      </c>
      <c r="I55" s="26" t="s">
        <v>23</v>
      </c>
      <c r="J55" s="32">
        <v>0.75</v>
      </c>
      <c r="K55" s="31">
        <f>+G55*J55</f>
        <v>76875</v>
      </c>
    </row>
    <row r="56" spans="1:11" x14ac:dyDescent="0.25">
      <c r="A56" s="12">
        <v>54</v>
      </c>
      <c r="B56" s="15" t="s">
        <v>163</v>
      </c>
      <c r="C56" s="14" t="s">
        <v>164</v>
      </c>
      <c r="D56" s="15" t="s">
        <v>35</v>
      </c>
      <c r="E56" s="15" t="s">
        <v>14</v>
      </c>
      <c r="F56" s="15" t="s">
        <v>63</v>
      </c>
      <c r="G56" s="54">
        <v>97500</v>
      </c>
      <c r="H56" s="34"/>
      <c r="I56" s="26"/>
      <c r="J56" s="66">
        <v>0</v>
      </c>
      <c r="K56" s="31">
        <f>+G56*J56</f>
        <v>0</v>
      </c>
    </row>
    <row r="57" spans="1:11" x14ac:dyDescent="0.25">
      <c r="A57" s="12">
        <v>55</v>
      </c>
      <c r="B57" s="15" t="s">
        <v>165</v>
      </c>
      <c r="C57" s="14" t="s">
        <v>166</v>
      </c>
      <c r="D57" s="15" t="s">
        <v>26</v>
      </c>
      <c r="E57" s="15" t="s">
        <v>76</v>
      </c>
      <c r="F57" s="15" t="s">
        <v>63</v>
      </c>
      <c r="G57" s="54">
        <v>9075</v>
      </c>
      <c r="H57" s="34" t="s">
        <v>16</v>
      </c>
      <c r="I57" s="26" t="s">
        <v>23</v>
      </c>
      <c r="J57" s="32">
        <v>5.4322999999999997</v>
      </c>
      <c r="K57" s="31">
        <f>+G57*J57</f>
        <v>49298.122499999998</v>
      </c>
    </row>
    <row r="58" spans="1:11" ht="38.25" x14ac:dyDescent="0.25">
      <c r="A58" s="12">
        <v>56</v>
      </c>
      <c r="B58" s="15" t="s">
        <v>167</v>
      </c>
      <c r="C58" s="14" t="s">
        <v>334</v>
      </c>
      <c r="D58" s="15" t="s">
        <v>35</v>
      </c>
      <c r="E58" s="15" t="s">
        <v>168</v>
      </c>
      <c r="F58" s="15" t="s">
        <v>22</v>
      </c>
      <c r="G58" s="54">
        <v>435000</v>
      </c>
      <c r="H58" s="34" t="s">
        <v>16</v>
      </c>
      <c r="I58" s="26" t="s">
        <v>36</v>
      </c>
      <c r="J58" s="32">
        <v>0.35</v>
      </c>
      <c r="K58" s="31">
        <f>+G58*J58</f>
        <v>152250</v>
      </c>
    </row>
    <row r="59" spans="1:11" ht="25.5" x14ac:dyDescent="0.25">
      <c r="A59" s="12">
        <v>57</v>
      </c>
      <c r="B59" s="15" t="s">
        <v>169</v>
      </c>
      <c r="C59" s="14" t="s">
        <v>170</v>
      </c>
      <c r="D59" s="15" t="s">
        <v>35</v>
      </c>
      <c r="E59" s="15" t="s">
        <v>27</v>
      </c>
      <c r="F59" s="15" t="s">
        <v>43</v>
      </c>
      <c r="G59" s="54">
        <v>37750</v>
      </c>
      <c r="H59" s="34" t="s">
        <v>16</v>
      </c>
      <c r="I59" s="26" t="s">
        <v>23</v>
      </c>
      <c r="J59" s="32">
        <v>0.1065</v>
      </c>
      <c r="K59" s="31">
        <f>+G59*J59</f>
        <v>4020.375</v>
      </c>
    </row>
    <row r="60" spans="1:11" ht="25.5" x14ac:dyDescent="0.25">
      <c r="A60" s="7">
        <v>58</v>
      </c>
      <c r="B60" s="10" t="s">
        <v>171</v>
      </c>
      <c r="C60" s="14" t="s">
        <v>172</v>
      </c>
      <c r="D60" s="10" t="s">
        <v>13</v>
      </c>
      <c r="E60" s="10" t="s">
        <v>160</v>
      </c>
      <c r="F60" s="10" t="s">
        <v>22</v>
      </c>
      <c r="G60" s="50">
        <v>23125</v>
      </c>
      <c r="H60" s="34" t="s">
        <v>16</v>
      </c>
      <c r="I60" s="26" t="s">
        <v>23</v>
      </c>
      <c r="J60" s="32">
        <v>0.1958</v>
      </c>
      <c r="K60" s="31">
        <f>+G60*J60</f>
        <v>4527.875</v>
      </c>
    </row>
    <row r="61" spans="1:11" x14ac:dyDescent="0.25">
      <c r="A61" s="7">
        <v>59</v>
      </c>
      <c r="B61" s="10" t="s">
        <v>173</v>
      </c>
      <c r="C61" s="14" t="s">
        <v>174</v>
      </c>
      <c r="D61" s="15" t="s">
        <v>35</v>
      </c>
      <c r="E61" s="15" t="s">
        <v>104</v>
      </c>
      <c r="F61" s="15" t="s">
        <v>22</v>
      </c>
      <c r="G61" s="54">
        <v>10500000</v>
      </c>
      <c r="H61" s="34" t="s">
        <v>16</v>
      </c>
      <c r="I61" s="26" t="s">
        <v>23</v>
      </c>
      <c r="J61" s="32">
        <v>4.3E-3</v>
      </c>
      <c r="K61" s="31">
        <f>+G61*J61</f>
        <v>45150</v>
      </c>
    </row>
    <row r="62" spans="1:11" x14ac:dyDescent="0.25">
      <c r="A62" s="7">
        <v>60</v>
      </c>
      <c r="B62" s="10" t="s">
        <v>175</v>
      </c>
      <c r="C62" s="14" t="s">
        <v>176</v>
      </c>
      <c r="D62" s="10" t="s">
        <v>13</v>
      </c>
      <c r="E62" s="10" t="s">
        <v>21</v>
      </c>
      <c r="F62" s="10" t="s">
        <v>22</v>
      </c>
      <c r="G62" s="50">
        <v>9575</v>
      </c>
      <c r="H62" s="34" t="s">
        <v>16</v>
      </c>
      <c r="I62" s="26" t="s">
        <v>23</v>
      </c>
      <c r="J62" s="32">
        <v>2.0034999999999998</v>
      </c>
      <c r="K62" s="31">
        <f>+G62*J62</f>
        <v>19183.512499999997</v>
      </c>
    </row>
    <row r="63" spans="1:11" x14ac:dyDescent="0.25">
      <c r="A63" s="7">
        <v>61</v>
      </c>
      <c r="B63" s="10" t="s">
        <v>177</v>
      </c>
      <c r="C63" s="14" t="s">
        <v>178</v>
      </c>
      <c r="D63" s="10" t="s">
        <v>13</v>
      </c>
      <c r="E63" s="10" t="s">
        <v>21</v>
      </c>
      <c r="F63" s="10" t="s">
        <v>22</v>
      </c>
      <c r="G63" s="50">
        <v>10200</v>
      </c>
      <c r="H63" s="34" t="s">
        <v>16</v>
      </c>
      <c r="I63" s="26" t="s">
        <v>23</v>
      </c>
      <c r="J63" s="32">
        <v>8.5699999999999998E-2</v>
      </c>
      <c r="K63" s="31">
        <f>+G63*J63</f>
        <v>874.14</v>
      </c>
    </row>
    <row r="64" spans="1:11" x14ac:dyDescent="0.25">
      <c r="A64" s="7">
        <v>62</v>
      </c>
      <c r="B64" s="10" t="s">
        <v>179</v>
      </c>
      <c r="C64" s="14" t="s">
        <v>180</v>
      </c>
      <c r="D64" s="10" t="s">
        <v>13</v>
      </c>
      <c r="E64" s="10" t="s">
        <v>14</v>
      </c>
      <c r="F64" s="10" t="s">
        <v>181</v>
      </c>
      <c r="G64" s="50">
        <v>25625</v>
      </c>
      <c r="H64" s="34" t="s">
        <v>16</v>
      </c>
      <c r="I64" s="26" t="s">
        <v>17</v>
      </c>
      <c r="J64" s="32">
        <v>0.2021</v>
      </c>
      <c r="K64" s="31">
        <f>+G64*J64</f>
        <v>5178.8125</v>
      </c>
    </row>
    <row r="65" spans="1:11" ht="25.5" x14ac:dyDescent="0.25">
      <c r="A65" s="12">
        <v>63</v>
      </c>
      <c r="B65" s="15" t="s">
        <v>182</v>
      </c>
      <c r="C65" s="14" t="s">
        <v>183</v>
      </c>
      <c r="D65" s="15" t="s">
        <v>13</v>
      </c>
      <c r="E65" s="15" t="s">
        <v>82</v>
      </c>
      <c r="F65" s="28" t="s">
        <v>335</v>
      </c>
      <c r="G65" s="54">
        <v>15750</v>
      </c>
      <c r="H65" s="34" t="s">
        <v>16</v>
      </c>
      <c r="I65" s="28" t="s">
        <v>23</v>
      </c>
      <c r="J65" s="32">
        <v>0.185</v>
      </c>
      <c r="K65" s="31">
        <f>+G65*J65</f>
        <v>2913.75</v>
      </c>
    </row>
    <row r="66" spans="1:11" ht="25.5" x14ac:dyDescent="0.25">
      <c r="A66" s="12">
        <v>64</v>
      </c>
      <c r="B66" s="15" t="s">
        <v>184</v>
      </c>
      <c r="C66" s="14" t="s">
        <v>185</v>
      </c>
      <c r="D66" s="15" t="s">
        <v>35</v>
      </c>
      <c r="E66" s="15" t="s">
        <v>14</v>
      </c>
      <c r="F66" s="15" t="s">
        <v>136</v>
      </c>
      <c r="G66" s="54">
        <v>142250</v>
      </c>
      <c r="H66" s="34" t="s">
        <v>16</v>
      </c>
      <c r="I66" s="26" t="s">
        <v>36</v>
      </c>
      <c r="J66" s="32">
        <v>8.5000000000000006E-2</v>
      </c>
      <c r="K66" s="31">
        <f>+G66*J66</f>
        <v>12091.25</v>
      </c>
    </row>
    <row r="67" spans="1:11" x14ac:dyDescent="0.25">
      <c r="A67" s="12">
        <v>65</v>
      </c>
      <c r="B67" s="15" t="s">
        <v>186</v>
      </c>
      <c r="C67" s="14" t="s">
        <v>187</v>
      </c>
      <c r="D67" s="15" t="s">
        <v>13</v>
      </c>
      <c r="E67" s="15" t="s">
        <v>76</v>
      </c>
      <c r="F67" s="15" t="s">
        <v>22</v>
      </c>
      <c r="G67" s="54">
        <v>152900</v>
      </c>
      <c r="H67" s="34" t="s">
        <v>16</v>
      </c>
      <c r="I67" s="28" t="s">
        <v>23</v>
      </c>
      <c r="J67" s="32">
        <v>0.42249999999999999</v>
      </c>
      <c r="K67" s="31">
        <f>+G67*J67</f>
        <v>64600.25</v>
      </c>
    </row>
    <row r="68" spans="1:11" x14ac:dyDescent="0.25">
      <c r="A68" s="12">
        <v>66</v>
      </c>
      <c r="B68" s="15" t="s">
        <v>188</v>
      </c>
      <c r="C68" s="14" t="s">
        <v>189</v>
      </c>
      <c r="D68" s="15" t="s">
        <v>26</v>
      </c>
      <c r="E68" s="15" t="s">
        <v>73</v>
      </c>
      <c r="F68" s="15" t="s">
        <v>139</v>
      </c>
      <c r="G68" s="54">
        <v>117000</v>
      </c>
      <c r="H68" s="34" t="s">
        <v>16</v>
      </c>
      <c r="I68" s="26" t="s">
        <v>17</v>
      </c>
      <c r="J68" s="32">
        <v>0.17849999999999999</v>
      </c>
      <c r="K68" s="31">
        <f>+G68*J68</f>
        <v>20884.5</v>
      </c>
    </row>
    <row r="69" spans="1:11" x14ac:dyDescent="0.25">
      <c r="A69" s="7">
        <v>67</v>
      </c>
      <c r="B69" s="10" t="s">
        <v>190</v>
      </c>
      <c r="C69" s="11" t="s">
        <v>191</v>
      </c>
      <c r="D69" s="10" t="s">
        <v>13</v>
      </c>
      <c r="E69" s="10" t="s">
        <v>21</v>
      </c>
      <c r="F69" s="10" t="s">
        <v>22</v>
      </c>
      <c r="G69" s="50">
        <v>154000</v>
      </c>
      <c r="H69" s="34" t="s">
        <v>16</v>
      </c>
      <c r="I69" s="26" t="s">
        <v>23</v>
      </c>
      <c r="J69" s="32">
        <v>6.9900000000000004E-2</v>
      </c>
      <c r="K69" s="31">
        <f>+G69*J69</f>
        <v>10764.6</v>
      </c>
    </row>
    <row r="70" spans="1:11" ht="25.5" x14ac:dyDescent="0.25">
      <c r="A70" s="7">
        <v>68</v>
      </c>
      <c r="B70" s="10" t="s">
        <v>192</v>
      </c>
      <c r="C70" s="14" t="s">
        <v>193</v>
      </c>
      <c r="D70" s="10" t="s">
        <v>35</v>
      </c>
      <c r="E70" s="10" t="s">
        <v>194</v>
      </c>
      <c r="F70" s="20" t="s">
        <v>195</v>
      </c>
      <c r="G70" s="50">
        <v>203750</v>
      </c>
      <c r="H70" s="34" t="s">
        <v>16</v>
      </c>
      <c r="I70" s="28" t="s">
        <v>23</v>
      </c>
      <c r="J70" s="32">
        <v>0.46229999999999999</v>
      </c>
      <c r="K70" s="31">
        <f>+G70*J70</f>
        <v>94193.625</v>
      </c>
    </row>
    <row r="71" spans="1:11" x14ac:dyDescent="0.25">
      <c r="A71" s="7">
        <v>69</v>
      </c>
      <c r="B71" s="10" t="s">
        <v>196</v>
      </c>
      <c r="C71" s="14" t="s">
        <v>197</v>
      </c>
      <c r="D71" s="10" t="s">
        <v>26</v>
      </c>
      <c r="E71" s="10" t="s">
        <v>194</v>
      </c>
      <c r="F71" s="10" t="s">
        <v>198</v>
      </c>
      <c r="G71" s="50">
        <v>60000</v>
      </c>
      <c r="H71" s="34" t="s">
        <v>16</v>
      </c>
      <c r="I71" s="26" t="s">
        <v>23</v>
      </c>
      <c r="J71" s="32">
        <v>0.39600000000000002</v>
      </c>
      <c r="K71" s="31">
        <f>+G71*J71</f>
        <v>23760</v>
      </c>
    </row>
    <row r="72" spans="1:11" ht="25.5" x14ac:dyDescent="0.25">
      <c r="A72" s="7">
        <v>70</v>
      </c>
      <c r="B72" s="10" t="s">
        <v>199</v>
      </c>
      <c r="C72" s="14" t="s">
        <v>200</v>
      </c>
      <c r="D72" s="10" t="s">
        <v>201</v>
      </c>
      <c r="E72" s="10" t="s">
        <v>202</v>
      </c>
      <c r="F72" s="20" t="s">
        <v>203</v>
      </c>
      <c r="G72" s="50">
        <v>21000</v>
      </c>
      <c r="H72" s="34" t="s">
        <v>16</v>
      </c>
      <c r="I72" s="26" t="s">
        <v>23</v>
      </c>
      <c r="J72" s="32">
        <v>0.98040000000000005</v>
      </c>
      <c r="K72" s="31">
        <f>+G72*J72</f>
        <v>20588.400000000001</v>
      </c>
    </row>
    <row r="73" spans="1:11" ht="25.5" x14ac:dyDescent="0.25">
      <c r="A73" s="7">
        <v>71</v>
      </c>
      <c r="B73" s="10" t="s">
        <v>204</v>
      </c>
      <c r="C73" s="14" t="s">
        <v>205</v>
      </c>
      <c r="D73" s="10" t="s">
        <v>201</v>
      </c>
      <c r="E73" s="10" t="s">
        <v>194</v>
      </c>
      <c r="F73" s="20" t="s">
        <v>203</v>
      </c>
      <c r="G73" s="50">
        <v>263000</v>
      </c>
      <c r="H73" s="34" t="s">
        <v>16</v>
      </c>
      <c r="I73" s="26" t="s">
        <v>23</v>
      </c>
      <c r="J73" s="32">
        <v>0.33979999999999999</v>
      </c>
      <c r="K73" s="31">
        <f>+G73*J73</f>
        <v>89367.4</v>
      </c>
    </row>
    <row r="74" spans="1:11" ht="25.5" x14ac:dyDescent="0.25">
      <c r="A74" s="7">
        <v>72</v>
      </c>
      <c r="B74" s="10" t="s">
        <v>206</v>
      </c>
      <c r="C74" s="14" t="s">
        <v>336</v>
      </c>
      <c r="D74" s="10" t="s">
        <v>201</v>
      </c>
      <c r="E74" s="10" t="s">
        <v>207</v>
      </c>
      <c r="F74" s="20" t="s">
        <v>203</v>
      </c>
      <c r="G74" s="50">
        <v>25000</v>
      </c>
      <c r="H74" s="34" t="s">
        <v>16</v>
      </c>
      <c r="I74" s="26" t="s">
        <v>23</v>
      </c>
      <c r="J74" s="32">
        <v>4.1870000000000003</v>
      </c>
      <c r="K74" s="31">
        <f>+G74*J74</f>
        <v>104675</v>
      </c>
    </row>
    <row r="75" spans="1:11" ht="25.5" x14ac:dyDescent="0.25">
      <c r="A75" s="7">
        <v>73</v>
      </c>
      <c r="B75" s="10" t="s">
        <v>208</v>
      </c>
      <c r="C75" s="14" t="s">
        <v>337</v>
      </c>
      <c r="D75" s="10" t="s">
        <v>201</v>
      </c>
      <c r="E75" s="10" t="s">
        <v>194</v>
      </c>
      <c r="F75" s="20" t="s">
        <v>203</v>
      </c>
      <c r="G75" s="50">
        <v>90000</v>
      </c>
      <c r="H75" s="34" t="s">
        <v>16</v>
      </c>
      <c r="I75" s="26" t="s">
        <v>23</v>
      </c>
      <c r="J75" s="32">
        <v>1.1870000000000001</v>
      </c>
      <c r="K75" s="31">
        <f>+G75*J75</f>
        <v>106830</v>
      </c>
    </row>
    <row r="76" spans="1:11" ht="25.5" x14ac:dyDescent="0.25">
      <c r="A76" s="7">
        <v>74</v>
      </c>
      <c r="B76" s="10" t="s">
        <v>209</v>
      </c>
      <c r="C76" s="11" t="s">
        <v>210</v>
      </c>
      <c r="D76" s="10" t="s">
        <v>35</v>
      </c>
      <c r="E76" s="10" t="s">
        <v>202</v>
      </c>
      <c r="F76" s="20" t="s">
        <v>203</v>
      </c>
      <c r="G76" s="50">
        <v>62000</v>
      </c>
      <c r="H76" s="34" t="s">
        <v>16</v>
      </c>
      <c r="I76" s="26" t="s">
        <v>23</v>
      </c>
      <c r="J76" s="32">
        <v>0.70199999999999996</v>
      </c>
      <c r="K76" s="31">
        <f>+G76*J76</f>
        <v>43524</v>
      </c>
    </row>
    <row r="77" spans="1:11" x14ac:dyDescent="0.25">
      <c r="A77" s="7">
        <v>75</v>
      </c>
      <c r="B77" s="10" t="s">
        <v>211</v>
      </c>
      <c r="C77" s="14" t="s">
        <v>212</v>
      </c>
      <c r="D77" s="10" t="s">
        <v>13</v>
      </c>
      <c r="E77" s="10" t="s">
        <v>76</v>
      </c>
      <c r="F77" s="10" t="s">
        <v>198</v>
      </c>
      <c r="G77" s="50">
        <v>61425</v>
      </c>
      <c r="H77" s="34" t="s">
        <v>16</v>
      </c>
      <c r="I77" s="28" t="s">
        <v>23</v>
      </c>
      <c r="J77" s="32">
        <v>0.59819999999999995</v>
      </c>
      <c r="K77" s="31">
        <f>+G77*J77</f>
        <v>36744.434999999998</v>
      </c>
    </row>
    <row r="78" spans="1:11" ht="25.5" x14ac:dyDescent="0.25">
      <c r="A78" s="7">
        <v>76</v>
      </c>
      <c r="B78" s="10" t="s">
        <v>213</v>
      </c>
      <c r="C78" s="14" t="s">
        <v>338</v>
      </c>
      <c r="D78" s="10" t="s">
        <v>201</v>
      </c>
      <c r="E78" s="10" t="s">
        <v>214</v>
      </c>
      <c r="F78" s="10" t="s">
        <v>215</v>
      </c>
      <c r="G78" s="50">
        <v>2813</v>
      </c>
      <c r="H78" s="34" t="s">
        <v>16</v>
      </c>
      <c r="I78" s="26" t="s">
        <v>36</v>
      </c>
      <c r="J78" s="32">
        <v>0.32369999999999999</v>
      </c>
      <c r="K78" s="31">
        <f>+G78*J78</f>
        <v>910.56809999999996</v>
      </c>
    </row>
    <row r="79" spans="1:11" x14ac:dyDescent="0.25">
      <c r="A79" s="12">
        <v>77</v>
      </c>
      <c r="B79" s="15" t="s">
        <v>216</v>
      </c>
      <c r="C79" s="14" t="s">
        <v>217</v>
      </c>
      <c r="D79" s="15" t="s">
        <v>201</v>
      </c>
      <c r="E79" s="15" t="s">
        <v>218</v>
      </c>
      <c r="F79" s="15" t="s">
        <v>219</v>
      </c>
      <c r="G79" s="54">
        <v>21250</v>
      </c>
      <c r="H79" s="34" t="s">
        <v>16</v>
      </c>
      <c r="I79" s="26" t="s">
        <v>23</v>
      </c>
      <c r="J79" s="32">
        <v>0.38119999999999998</v>
      </c>
      <c r="K79" s="31">
        <f>+G79*J79</f>
        <v>8100.5</v>
      </c>
    </row>
    <row r="80" spans="1:11" x14ac:dyDescent="0.25">
      <c r="A80" s="12">
        <v>78</v>
      </c>
      <c r="B80" s="15" t="s">
        <v>220</v>
      </c>
      <c r="C80" s="14" t="s">
        <v>221</v>
      </c>
      <c r="D80" s="15" t="s">
        <v>35</v>
      </c>
      <c r="E80" s="15" t="s">
        <v>82</v>
      </c>
      <c r="F80" s="15" t="s">
        <v>63</v>
      </c>
      <c r="G80" s="54">
        <v>6575</v>
      </c>
      <c r="H80" s="34" t="s">
        <v>16</v>
      </c>
      <c r="I80" s="26" t="s">
        <v>23</v>
      </c>
      <c r="J80" s="32">
        <v>0.99129999999999996</v>
      </c>
      <c r="K80" s="31">
        <f>+G80*J80</f>
        <v>6517.7974999999997</v>
      </c>
    </row>
    <row r="81" spans="1:11" x14ac:dyDescent="0.25">
      <c r="A81" s="12">
        <v>79</v>
      </c>
      <c r="B81" s="15" t="s">
        <v>222</v>
      </c>
      <c r="C81" s="14" t="s">
        <v>223</v>
      </c>
      <c r="D81" s="15" t="s">
        <v>13</v>
      </c>
      <c r="E81" s="15" t="s">
        <v>115</v>
      </c>
      <c r="F81" s="15" t="s">
        <v>63</v>
      </c>
      <c r="G81" s="54">
        <v>4675</v>
      </c>
      <c r="H81" s="34" t="s">
        <v>16</v>
      </c>
      <c r="I81" s="26" t="s">
        <v>23</v>
      </c>
      <c r="J81" s="32">
        <v>0.89139999999999997</v>
      </c>
      <c r="K81" s="31">
        <f>+G81*J81</f>
        <v>4167.2950000000001</v>
      </c>
    </row>
    <row r="82" spans="1:11" ht="25.5" x14ac:dyDescent="0.25">
      <c r="A82" s="7">
        <v>80</v>
      </c>
      <c r="B82" s="10" t="s">
        <v>224</v>
      </c>
      <c r="C82" s="14" t="s">
        <v>225</v>
      </c>
      <c r="D82" s="10" t="s">
        <v>201</v>
      </c>
      <c r="E82" s="10" t="s">
        <v>27</v>
      </c>
      <c r="F82" s="28" t="s">
        <v>226</v>
      </c>
      <c r="G82" s="50">
        <v>10025</v>
      </c>
      <c r="H82" s="34" t="s">
        <v>16</v>
      </c>
      <c r="I82" s="28" t="s">
        <v>23</v>
      </c>
      <c r="J82" s="32">
        <v>0.72009999999999996</v>
      </c>
      <c r="K82" s="31">
        <f>+G82*J82</f>
        <v>7219.0024999999996</v>
      </c>
    </row>
    <row r="83" spans="1:11" ht="38.25" x14ac:dyDescent="0.25">
      <c r="A83" s="7">
        <v>81</v>
      </c>
      <c r="B83" s="10" t="s">
        <v>227</v>
      </c>
      <c r="C83" s="14" t="s">
        <v>228</v>
      </c>
      <c r="D83" s="10" t="s">
        <v>201</v>
      </c>
      <c r="E83" s="10" t="s">
        <v>229</v>
      </c>
      <c r="F83" s="33" t="s">
        <v>226</v>
      </c>
      <c r="G83" s="50">
        <v>10750</v>
      </c>
      <c r="H83" s="34" t="s">
        <v>16</v>
      </c>
      <c r="I83" s="28" t="s">
        <v>23</v>
      </c>
      <c r="J83" s="32">
        <v>0.88200000000000001</v>
      </c>
      <c r="K83" s="31">
        <f>+G83*J83</f>
        <v>9481.5</v>
      </c>
    </row>
    <row r="84" spans="1:11" ht="38.25" x14ac:dyDescent="0.25">
      <c r="A84" s="12">
        <v>82</v>
      </c>
      <c r="B84" s="15" t="s">
        <v>230</v>
      </c>
      <c r="C84" s="14" t="s">
        <v>339</v>
      </c>
      <c r="D84" s="15" t="s">
        <v>201</v>
      </c>
      <c r="E84" s="15" t="s">
        <v>27</v>
      </c>
      <c r="F84" s="28" t="s">
        <v>226</v>
      </c>
      <c r="G84" s="54">
        <v>24850</v>
      </c>
      <c r="H84" s="34" t="s">
        <v>16</v>
      </c>
      <c r="I84" s="28" t="s">
        <v>23</v>
      </c>
      <c r="J84" s="32">
        <v>0.73280000000000001</v>
      </c>
      <c r="K84" s="31">
        <f>+G84*J84</f>
        <v>18210.080000000002</v>
      </c>
    </row>
    <row r="85" spans="1:11" ht="25.5" x14ac:dyDescent="0.25">
      <c r="A85" s="12">
        <v>83</v>
      </c>
      <c r="B85" s="15" t="s">
        <v>231</v>
      </c>
      <c r="C85" s="14" t="s">
        <v>232</v>
      </c>
      <c r="D85" s="15" t="s">
        <v>201</v>
      </c>
      <c r="E85" s="15" t="s">
        <v>233</v>
      </c>
      <c r="F85" s="15" t="s">
        <v>94</v>
      </c>
      <c r="G85" s="54">
        <v>6325</v>
      </c>
      <c r="H85" s="34" t="s">
        <v>16</v>
      </c>
      <c r="I85" s="28" t="s">
        <v>17</v>
      </c>
      <c r="J85" s="32">
        <v>0.89539999999999997</v>
      </c>
      <c r="K85" s="31">
        <f>+G85*J85</f>
        <v>5663.4049999999997</v>
      </c>
    </row>
    <row r="86" spans="1:11" ht="25.5" x14ac:dyDescent="0.25">
      <c r="A86" s="12">
        <v>84</v>
      </c>
      <c r="B86" s="15" t="s">
        <v>234</v>
      </c>
      <c r="C86" s="14" t="s">
        <v>235</v>
      </c>
      <c r="D86" s="15" t="s">
        <v>35</v>
      </c>
      <c r="E86" s="15" t="s">
        <v>115</v>
      </c>
      <c r="F86" s="15" t="s">
        <v>340</v>
      </c>
      <c r="G86" s="54">
        <v>17750</v>
      </c>
      <c r="H86" s="34" t="s">
        <v>16</v>
      </c>
      <c r="I86" s="28" t="s">
        <v>17</v>
      </c>
      <c r="J86" s="32">
        <v>3.9990000000000001</v>
      </c>
      <c r="K86" s="31">
        <f>+G86*J86</f>
        <v>70982.25</v>
      </c>
    </row>
    <row r="87" spans="1:11" x14ac:dyDescent="0.25">
      <c r="A87" s="7">
        <v>85</v>
      </c>
      <c r="B87" s="10" t="s">
        <v>236</v>
      </c>
      <c r="C87" s="11" t="s">
        <v>237</v>
      </c>
      <c r="D87" s="10" t="s">
        <v>26</v>
      </c>
      <c r="E87" s="10" t="s">
        <v>82</v>
      </c>
      <c r="F87" s="10" t="s">
        <v>238</v>
      </c>
      <c r="G87" s="50">
        <v>19725</v>
      </c>
      <c r="H87" s="34" t="s">
        <v>16</v>
      </c>
      <c r="I87" s="26" t="s">
        <v>23</v>
      </c>
      <c r="J87" s="32">
        <v>0.98899999999999999</v>
      </c>
      <c r="K87" s="31">
        <f>+G87*J87</f>
        <v>19508.025000000001</v>
      </c>
    </row>
    <row r="88" spans="1:11" x14ac:dyDescent="0.25">
      <c r="A88" s="7">
        <v>86</v>
      </c>
      <c r="B88" s="10" t="s">
        <v>239</v>
      </c>
      <c r="C88" s="14" t="s">
        <v>240</v>
      </c>
      <c r="D88" s="10" t="s">
        <v>201</v>
      </c>
      <c r="E88" s="10" t="s">
        <v>14</v>
      </c>
      <c r="F88" s="10" t="s">
        <v>43</v>
      </c>
      <c r="G88" s="50">
        <v>7925</v>
      </c>
      <c r="H88" s="34" t="s">
        <v>16</v>
      </c>
      <c r="I88" s="28" t="s">
        <v>23</v>
      </c>
      <c r="J88" s="32">
        <v>0.8629</v>
      </c>
      <c r="K88" s="31">
        <f>+G88*J88</f>
        <v>6838.4825000000001</v>
      </c>
    </row>
    <row r="89" spans="1:11" x14ac:dyDescent="0.25">
      <c r="A89" s="7">
        <v>87</v>
      </c>
      <c r="B89" s="10" t="s">
        <v>241</v>
      </c>
      <c r="C89" s="14" t="s">
        <v>242</v>
      </c>
      <c r="D89" s="10" t="s">
        <v>35</v>
      </c>
      <c r="E89" s="10" t="s">
        <v>82</v>
      </c>
      <c r="F89" s="33"/>
      <c r="G89" s="50">
        <v>18725</v>
      </c>
      <c r="H89" s="34" t="s">
        <v>16</v>
      </c>
      <c r="I89" s="28" t="s">
        <v>23</v>
      </c>
      <c r="J89" s="32">
        <v>10.8902</v>
      </c>
      <c r="K89" s="31">
        <f>+G89*J89</f>
        <v>203918.995</v>
      </c>
    </row>
    <row r="90" spans="1:11" x14ac:dyDescent="0.25">
      <c r="A90" s="21">
        <v>88</v>
      </c>
      <c r="B90" s="10" t="s">
        <v>243</v>
      </c>
      <c r="C90" s="14" t="s">
        <v>244</v>
      </c>
      <c r="D90" s="10" t="s">
        <v>13</v>
      </c>
      <c r="E90" s="10" t="s">
        <v>27</v>
      </c>
      <c r="F90" s="33"/>
      <c r="G90" s="50">
        <v>19000</v>
      </c>
      <c r="H90" s="34" t="s">
        <v>16</v>
      </c>
      <c r="I90" s="28" t="s">
        <v>17</v>
      </c>
      <c r="J90" s="32">
        <v>1.5980000000000001</v>
      </c>
      <c r="K90" s="31">
        <f>+G90*J90</f>
        <v>30362</v>
      </c>
    </row>
    <row r="91" spans="1:11" x14ac:dyDescent="0.25">
      <c r="A91" s="21">
        <v>89</v>
      </c>
      <c r="B91" s="10" t="s">
        <v>245</v>
      </c>
      <c r="C91" s="14" t="s">
        <v>246</v>
      </c>
      <c r="D91" s="10" t="s">
        <v>13</v>
      </c>
      <c r="E91" s="10" t="s">
        <v>247</v>
      </c>
      <c r="F91" s="10" t="s">
        <v>248</v>
      </c>
      <c r="G91" s="50">
        <v>3625</v>
      </c>
      <c r="H91" s="34" t="s">
        <v>16</v>
      </c>
      <c r="I91" s="26" t="s">
        <v>23</v>
      </c>
      <c r="J91" s="32">
        <v>21.8521</v>
      </c>
      <c r="K91" s="31">
        <f>+G91*J91</f>
        <v>79213.862500000003</v>
      </c>
    </row>
    <row r="92" spans="1:11" ht="25.5" x14ac:dyDescent="0.25">
      <c r="A92" s="22">
        <v>90</v>
      </c>
      <c r="B92" s="15" t="s">
        <v>249</v>
      </c>
      <c r="C92" s="14" t="s">
        <v>250</v>
      </c>
      <c r="D92" s="15" t="s">
        <v>201</v>
      </c>
      <c r="E92" s="15" t="s">
        <v>251</v>
      </c>
      <c r="F92" s="28"/>
      <c r="G92" s="54">
        <v>15850</v>
      </c>
      <c r="H92" s="34" t="s">
        <v>16</v>
      </c>
      <c r="I92" s="26" t="s">
        <v>23</v>
      </c>
      <c r="J92" s="32">
        <v>3.9912000000000001</v>
      </c>
      <c r="K92" s="31">
        <f>+G92*J92</f>
        <v>63260.520000000004</v>
      </c>
    </row>
    <row r="93" spans="1:11" ht="25.5" x14ac:dyDescent="0.25">
      <c r="A93" s="21">
        <v>91</v>
      </c>
      <c r="B93" s="10" t="s">
        <v>252</v>
      </c>
      <c r="C93" s="14" t="s">
        <v>341</v>
      </c>
      <c r="D93" s="10" t="s">
        <v>201</v>
      </c>
      <c r="E93" s="10" t="s">
        <v>207</v>
      </c>
      <c r="F93" s="33"/>
      <c r="G93" s="50">
        <v>32750</v>
      </c>
      <c r="H93" s="34"/>
      <c r="I93" s="26"/>
      <c r="J93" s="32"/>
      <c r="K93" s="26"/>
    </row>
    <row r="94" spans="1:11" x14ac:dyDescent="0.25">
      <c r="A94" s="21">
        <v>92</v>
      </c>
      <c r="B94" s="10" t="s">
        <v>253</v>
      </c>
      <c r="C94" s="14" t="s">
        <v>254</v>
      </c>
      <c r="D94" s="10" t="s">
        <v>13</v>
      </c>
      <c r="E94" s="10" t="s">
        <v>255</v>
      </c>
      <c r="F94" s="10" t="s">
        <v>22</v>
      </c>
      <c r="G94" s="50">
        <v>41600</v>
      </c>
      <c r="H94" s="34" t="s">
        <v>16</v>
      </c>
      <c r="I94" s="26" t="s">
        <v>23</v>
      </c>
      <c r="J94" s="32">
        <v>0.13689999999999999</v>
      </c>
      <c r="K94" s="31">
        <f>+G94*J94</f>
        <v>5695.04</v>
      </c>
    </row>
    <row r="95" spans="1:11" ht="25.5" x14ac:dyDescent="0.25">
      <c r="A95" s="21">
        <v>93</v>
      </c>
      <c r="B95" s="10" t="s">
        <v>256</v>
      </c>
      <c r="C95" s="14" t="s">
        <v>342</v>
      </c>
      <c r="D95" s="10" t="s">
        <v>257</v>
      </c>
      <c r="E95" s="10" t="s">
        <v>76</v>
      </c>
      <c r="F95" s="10" t="s">
        <v>258</v>
      </c>
      <c r="G95" s="50">
        <v>5125</v>
      </c>
      <c r="H95" s="34" t="s">
        <v>16</v>
      </c>
      <c r="I95" s="26" t="s">
        <v>23</v>
      </c>
      <c r="J95" s="32">
        <v>8.9819999999999993</v>
      </c>
      <c r="K95" s="31">
        <f>+G95*J95</f>
        <v>46032.75</v>
      </c>
    </row>
    <row r="96" spans="1:11" x14ac:dyDescent="0.25">
      <c r="A96" s="21">
        <v>94</v>
      </c>
      <c r="B96" s="10" t="s">
        <v>259</v>
      </c>
      <c r="C96" s="14" t="s">
        <v>260</v>
      </c>
      <c r="D96" s="10" t="s">
        <v>257</v>
      </c>
      <c r="E96" s="10" t="s">
        <v>261</v>
      </c>
      <c r="F96" s="10" t="s">
        <v>258</v>
      </c>
      <c r="G96" s="50">
        <v>13375</v>
      </c>
      <c r="H96" s="34" t="s">
        <v>16</v>
      </c>
      <c r="I96" s="26" t="s">
        <v>23</v>
      </c>
      <c r="J96" s="65">
        <v>0.85199999999999998</v>
      </c>
      <c r="K96" s="31">
        <f>+G96*J96</f>
        <v>11395.5</v>
      </c>
    </row>
    <row r="97" spans="1:11" ht="38.25" x14ac:dyDescent="0.25">
      <c r="A97" s="21">
        <v>95</v>
      </c>
      <c r="B97" s="10" t="s">
        <v>262</v>
      </c>
      <c r="C97" s="14" t="s">
        <v>263</v>
      </c>
      <c r="D97" s="10" t="s">
        <v>13</v>
      </c>
      <c r="E97" s="10" t="s">
        <v>73</v>
      </c>
      <c r="F97" s="15" t="s">
        <v>343</v>
      </c>
      <c r="G97" s="50">
        <v>6475</v>
      </c>
      <c r="H97" s="34" t="s">
        <v>16</v>
      </c>
      <c r="I97" s="28" t="s">
        <v>17</v>
      </c>
      <c r="J97" s="32">
        <v>0.53490000000000004</v>
      </c>
      <c r="K97" s="31">
        <f>+G97*J97</f>
        <v>3463.4775000000004</v>
      </c>
    </row>
    <row r="98" spans="1:11" x14ac:dyDescent="0.25">
      <c r="A98" s="63"/>
      <c r="B98" s="90" t="s">
        <v>330</v>
      </c>
      <c r="C98" s="91"/>
      <c r="D98" s="91"/>
      <c r="E98" s="91"/>
      <c r="F98" s="91"/>
      <c r="G98" s="91"/>
      <c r="H98" s="91"/>
      <c r="I98" s="91"/>
      <c r="J98" s="92"/>
      <c r="K98" s="64">
        <f>SUM(K3:K97)</f>
        <v>3527481.1255999999</v>
      </c>
    </row>
    <row r="99" spans="1:11" x14ac:dyDescent="0.25">
      <c r="K99" s="36"/>
    </row>
    <row r="101" spans="1:11" x14ac:dyDescent="0.25">
      <c r="I101" s="39" t="s">
        <v>351</v>
      </c>
      <c r="K101" s="75">
        <f>+'Zona Centro do Pais '!K98+'Zona Centro Injectaveis Pais '!K30+'Zona Norte do Pais Medicamentos'!K30+'Zona Norte do Pais Injectavel '!K79</f>
        <v>13925718.1841</v>
      </c>
    </row>
  </sheetData>
  <mergeCells count="3">
    <mergeCell ref="B98:J98"/>
    <mergeCell ref="J1:K1"/>
    <mergeCell ref="B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4"/>
  <sheetViews>
    <sheetView workbookViewId="0">
      <selection activeCell="N9" sqref="N9"/>
    </sheetView>
  </sheetViews>
  <sheetFormatPr defaultRowHeight="16.5" x14ac:dyDescent="0.25"/>
  <cols>
    <col min="1" max="1" width="5.42578125" style="1" customWidth="1"/>
    <col min="2" max="2" width="7.7109375" style="1" customWidth="1"/>
    <col min="3" max="3" width="21.140625" style="1" customWidth="1"/>
    <col min="4" max="4" width="11.85546875" style="1" customWidth="1"/>
    <col min="5" max="5" width="14.5703125" style="1" customWidth="1"/>
    <col min="6" max="6" width="13.5703125" style="24" customWidth="1"/>
    <col min="7" max="7" width="10.28515625" style="1" customWidth="1"/>
    <col min="8" max="8" width="9.28515625" style="24" customWidth="1"/>
    <col min="9" max="9" width="18.28515625" style="24" customWidth="1"/>
    <col min="10" max="10" width="11.85546875" style="47" customWidth="1"/>
    <col min="11" max="11" width="15" style="43" customWidth="1"/>
  </cols>
  <sheetData>
    <row r="1" spans="1:11" ht="25.5" x14ac:dyDescent="0.25">
      <c r="A1" s="42" t="s">
        <v>0</v>
      </c>
      <c r="B1" s="42" t="s">
        <v>1</v>
      </c>
      <c r="C1" s="42" t="s">
        <v>2</v>
      </c>
      <c r="D1" s="3" t="s">
        <v>3</v>
      </c>
      <c r="E1" s="3" t="s">
        <v>4</v>
      </c>
      <c r="F1" s="42" t="s">
        <v>5</v>
      </c>
      <c r="G1" s="42" t="s">
        <v>6</v>
      </c>
      <c r="H1" s="35" t="s">
        <v>7</v>
      </c>
      <c r="I1" s="48" t="s">
        <v>8</v>
      </c>
      <c r="J1" s="35" t="s">
        <v>9</v>
      </c>
      <c r="K1" s="35" t="s">
        <v>10</v>
      </c>
    </row>
    <row r="2" spans="1:11" x14ac:dyDescent="0.25">
      <c r="A2" s="7">
        <v>1</v>
      </c>
      <c r="B2" s="49">
        <v>1000</v>
      </c>
      <c r="C2" s="45" t="s">
        <v>266</v>
      </c>
      <c r="D2" s="10" t="s">
        <v>13</v>
      </c>
      <c r="E2" s="10" t="s">
        <v>104</v>
      </c>
      <c r="F2" s="10" t="s">
        <v>22</v>
      </c>
      <c r="G2" s="50">
        <v>1252500</v>
      </c>
      <c r="H2" s="34" t="s">
        <v>16</v>
      </c>
      <c r="I2" s="34" t="s">
        <v>267</v>
      </c>
      <c r="J2" s="51">
        <v>6.0000000000000001E-3</v>
      </c>
      <c r="K2" s="31">
        <f t="shared" ref="K2:K29" si="0">+G2*J2</f>
        <v>7515</v>
      </c>
    </row>
    <row r="3" spans="1:11" x14ac:dyDescent="0.25">
      <c r="A3" s="7">
        <v>2</v>
      </c>
      <c r="B3" s="10" t="s">
        <v>268</v>
      </c>
      <c r="C3" s="45" t="s">
        <v>269</v>
      </c>
      <c r="D3" s="10" t="s">
        <v>13</v>
      </c>
      <c r="E3" s="10" t="s">
        <v>21</v>
      </c>
      <c r="F3" s="10" t="s">
        <v>22</v>
      </c>
      <c r="G3" s="50">
        <v>1620000</v>
      </c>
      <c r="H3" s="34" t="s">
        <v>16</v>
      </c>
      <c r="I3" s="34" t="s">
        <v>267</v>
      </c>
      <c r="J3" s="51">
        <v>1.35E-2</v>
      </c>
      <c r="K3" s="52">
        <f t="shared" si="0"/>
        <v>21870</v>
      </c>
    </row>
    <row r="4" spans="1:11" x14ac:dyDescent="0.25">
      <c r="A4" s="7">
        <v>3</v>
      </c>
      <c r="B4" s="10" t="s">
        <v>270</v>
      </c>
      <c r="C4" s="46" t="s">
        <v>271</v>
      </c>
      <c r="D4" s="10" t="s">
        <v>13</v>
      </c>
      <c r="E4" s="53">
        <v>3</v>
      </c>
      <c r="F4" s="10" t="s">
        <v>22</v>
      </c>
      <c r="G4" s="50">
        <v>10200</v>
      </c>
      <c r="H4" s="34" t="s">
        <v>16</v>
      </c>
      <c r="I4" s="34" t="s">
        <v>267</v>
      </c>
      <c r="J4" s="51">
        <v>0.44500000000000001</v>
      </c>
      <c r="K4" s="52">
        <f t="shared" si="0"/>
        <v>4539</v>
      </c>
    </row>
    <row r="5" spans="1:11" ht="25.5" x14ac:dyDescent="0.25">
      <c r="A5" s="7">
        <v>4</v>
      </c>
      <c r="B5" s="10" t="s">
        <v>272</v>
      </c>
      <c r="C5" s="33" t="s">
        <v>273</v>
      </c>
      <c r="D5" s="10" t="s">
        <v>13</v>
      </c>
      <c r="E5" s="10" t="s">
        <v>27</v>
      </c>
      <c r="F5" s="10" t="s">
        <v>43</v>
      </c>
      <c r="G5" s="50">
        <v>100000</v>
      </c>
      <c r="H5" s="34" t="s">
        <v>16</v>
      </c>
      <c r="I5" s="34" t="s">
        <v>267</v>
      </c>
      <c r="J5" s="51">
        <v>0.184</v>
      </c>
      <c r="K5" s="52">
        <f t="shared" si="0"/>
        <v>18400</v>
      </c>
    </row>
    <row r="6" spans="1:11" ht="25.5" x14ac:dyDescent="0.25">
      <c r="A6" s="7">
        <v>5</v>
      </c>
      <c r="B6" s="10" t="s">
        <v>274</v>
      </c>
      <c r="C6" s="20" t="s">
        <v>275</v>
      </c>
      <c r="D6" s="10" t="s">
        <v>26</v>
      </c>
      <c r="E6" s="10" t="s">
        <v>73</v>
      </c>
      <c r="F6" s="10" t="s">
        <v>15</v>
      </c>
      <c r="G6" s="50">
        <v>108250</v>
      </c>
      <c r="H6" s="34" t="s">
        <v>16</v>
      </c>
      <c r="I6" s="34" t="s">
        <v>267</v>
      </c>
      <c r="J6" s="51">
        <v>1.0500000000000001E-2</v>
      </c>
      <c r="K6" s="52">
        <f t="shared" si="0"/>
        <v>1136.625</v>
      </c>
    </row>
    <row r="7" spans="1:11" x14ac:dyDescent="0.25">
      <c r="A7" s="12">
        <v>6</v>
      </c>
      <c r="B7" s="15" t="s">
        <v>276</v>
      </c>
      <c r="C7" s="28" t="s">
        <v>277</v>
      </c>
      <c r="D7" s="15" t="s">
        <v>13</v>
      </c>
      <c r="E7" s="15" t="s">
        <v>255</v>
      </c>
      <c r="F7" s="15" t="s">
        <v>22</v>
      </c>
      <c r="G7" s="54">
        <v>2632500</v>
      </c>
      <c r="H7" s="34" t="s">
        <v>16</v>
      </c>
      <c r="I7" s="34" t="s">
        <v>267</v>
      </c>
      <c r="J7" s="32">
        <v>7.4999999999999997E-3</v>
      </c>
      <c r="K7" s="52">
        <f t="shared" si="0"/>
        <v>19743.75</v>
      </c>
    </row>
    <row r="8" spans="1:11" ht="38.25" x14ac:dyDescent="0.25">
      <c r="A8" s="7">
        <v>7</v>
      </c>
      <c r="B8" s="10" t="s">
        <v>278</v>
      </c>
      <c r="C8" s="28" t="s">
        <v>328</v>
      </c>
      <c r="D8" s="10" t="s">
        <v>35</v>
      </c>
      <c r="E8" s="10" t="s">
        <v>229</v>
      </c>
      <c r="F8" s="10" t="s">
        <v>279</v>
      </c>
      <c r="G8" s="50">
        <v>358750</v>
      </c>
      <c r="H8" s="34" t="s">
        <v>16</v>
      </c>
      <c r="I8" s="34" t="s">
        <v>267</v>
      </c>
      <c r="J8" s="51">
        <v>0.35599999999999998</v>
      </c>
      <c r="K8" s="52">
        <f t="shared" si="0"/>
        <v>127715</v>
      </c>
    </row>
    <row r="9" spans="1:11" ht="25.5" x14ac:dyDescent="0.25">
      <c r="A9" s="7">
        <v>8</v>
      </c>
      <c r="B9" s="10" t="s">
        <v>280</v>
      </c>
      <c r="C9" s="28" t="s">
        <v>281</v>
      </c>
      <c r="D9" s="10" t="s">
        <v>26</v>
      </c>
      <c r="E9" s="10" t="s">
        <v>229</v>
      </c>
      <c r="F9" s="10" t="s">
        <v>15</v>
      </c>
      <c r="G9" s="50">
        <v>250000</v>
      </c>
      <c r="H9" s="34" t="s">
        <v>16</v>
      </c>
      <c r="I9" s="34" t="s">
        <v>267</v>
      </c>
      <c r="J9" s="51">
        <v>9.9900000000000003E-2</v>
      </c>
      <c r="K9" s="52">
        <f t="shared" si="0"/>
        <v>24975</v>
      </c>
    </row>
    <row r="10" spans="1:11" ht="25.5" x14ac:dyDescent="0.25">
      <c r="A10" s="7">
        <v>9</v>
      </c>
      <c r="B10" s="10" t="s">
        <v>282</v>
      </c>
      <c r="C10" s="15" t="s">
        <v>283</v>
      </c>
      <c r="D10" s="10" t="s">
        <v>142</v>
      </c>
      <c r="E10" s="10" t="s">
        <v>229</v>
      </c>
      <c r="F10" s="10" t="s">
        <v>15</v>
      </c>
      <c r="G10" s="50">
        <v>750000</v>
      </c>
      <c r="H10" s="34" t="s">
        <v>16</v>
      </c>
      <c r="I10" s="34" t="s">
        <v>267</v>
      </c>
      <c r="J10" s="51">
        <v>0.36499999999999999</v>
      </c>
      <c r="K10" s="52">
        <f t="shared" si="0"/>
        <v>273750</v>
      </c>
    </row>
    <row r="11" spans="1:11" ht="25.5" x14ac:dyDescent="0.25">
      <c r="A11" s="7">
        <v>10</v>
      </c>
      <c r="B11" s="10" t="s">
        <v>284</v>
      </c>
      <c r="C11" s="15" t="s">
        <v>285</v>
      </c>
      <c r="D11" s="10" t="s">
        <v>142</v>
      </c>
      <c r="E11" s="10" t="s">
        <v>76</v>
      </c>
      <c r="F11" s="10" t="s">
        <v>22</v>
      </c>
      <c r="G11" s="50">
        <v>490000</v>
      </c>
      <c r="H11" s="34" t="s">
        <v>16</v>
      </c>
      <c r="I11" s="15" t="s">
        <v>267</v>
      </c>
      <c r="J11" s="51">
        <v>0.52339999999999998</v>
      </c>
      <c r="K11" s="52">
        <f t="shared" si="0"/>
        <v>256466</v>
      </c>
    </row>
    <row r="12" spans="1:11" x14ac:dyDescent="0.25">
      <c r="A12" s="7">
        <v>11</v>
      </c>
      <c r="B12" s="10" t="s">
        <v>286</v>
      </c>
      <c r="C12" s="28" t="s">
        <v>287</v>
      </c>
      <c r="D12" s="10" t="s">
        <v>13</v>
      </c>
      <c r="E12" s="10" t="s">
        <v>21</v>
      </c>
      <c r="F12" s="10" t="s">
        <v>22</v>
      </c>
      <c r="G12" s="50">
        <v>143410</v>
      </c>
      <c r="H12" s="34" t="s">
        <v>16</v>
      </c>
      <c r="I12" s="34" t="s">
        <v>267</v>
      </c>
      <c r="J12" s="55">
        <v>0.45</v>
      </c>
      <c r="K12" s="56">
        <f t="shared" si="0"/>
        <v>64534.5</v>
      </c>
    </row>
    <row r="13" spans="1:11" ht="25.5" x14ac:dyDescent="0.25">
      <c r="A13" s="7">
        <v>12</v>
      </c>
      <c r="B13" s="10" t="s">
        <v>288</v>
      </c>
      <c r="C13" s="28" t="s">
        <v>289</v>
      </c>
      <c r="D13" s="10" t="s">
        <v>13</v>
      </c>
      <c r="E13" s="10" t="s">
        <v>290</v>
      </c>
      <c r="F13" s="10" t="s">
        <v>22</v>
      </c>
      <c r="G13" s="50">
        <v>440000</v>
      </c>
      <c r="H13" s="34" t="s">
        <v>16</v>
      </c>
      <c r="I13" s="34" t="s">
        <v>267</v>
      </c>
      <c r="J13" s="51">
        <v>5.5E-2</v>
      </c>
      <c r="K13" s="52">
        <f t="shared" si="0"/>
        <v>24200</v>
      </c>
    </row>
    <row r="14" spans="1:11" ht="25.5" x14ac:dyDescent="0.25">
      <c r="A14" s="7">
        <v>13</v>
      </c>
      <c r="B14" s="10" t="s">
        <v>291</v>
      </c>
      <c r="C14" s="28" t="s">
        <v>292</v>
      </c>
      <c r="D14" s="10" t="s">
        <v>13</v>
      </c>
      <c r="E14" s="10" t="s">
        <v>229</v>
      </c>
      <c r="F14" s="10" t="s">
        <v>43</v>
      </c>
      <c r="G14" s="50">
        <v>240500</v>
      </c>
      <c r="H14" s="34" t="s">
        <v>16</v>
      </c>
      <c r="I14" s="34" t="s">
        <v>36</v>
      </c>
      <c r="J14" s="32">
        <v>0.32369999999999999</v>
      </c>
      <c r="K14" s="52">
        <f t="shared" si="0"/>
        <v>77849.849999999991</v>
      </c>
    </row>
    <row r="15" spans="1:11" ht="25.5" x14ac:dyDescent="0.25">
      <c r="A15" s="7">
        <v>14</v>
      </c>
      <c r="B15" s="10" t="s">
        <v>293</v>
      </c>
      <c r="C15" s="33" t="s">
        <v>294</v>
      </c>
      <c r="D15" s="10" t="s">
        <v>35</v>
      </c>
      <c r="E15" s="10" t="s">
        <v>76</v>
      </c>
      <c r="F15" s="10" t="s">
        <v>22</v>
      </c>
      <c r="G15" s="50">
        <v>737500</v>
      </c>
      <c r="H15" s="34" t="s">
        <v>16</v>
      </c>
      <c r="I15" s="34" t="s">
        <v>267</v>
      </c>
      <c r="J15" s="51">
        <v>0.35799999999999998</v>
      </c>
      <c r="K15" s="31">
        <f t="shared" si="0"/>
        <v>264025</v>
      </c>
    </row>
    <row r="16" spans="1:11" ht="25.5" x14ac:dyDescent="0.25">
      <c r="A16" s="7">
        <v>15</v>
      </c>
      <c r="B16" s="10" t="s">
        <v>295</v>
      </c>
      <c r="C16" s="20" t="s">
        <v>296</v>
      </c>
      <c r="D16" s="10" t="s">
        <v>13</v>
      </c>
      <c r="E16" s="10" t="s">
        <v>229</v>
      </c>
      <c r="F16" s="10" t="s">
        <v>297</v>
      </c>
      <c r="G16" s="50">
        <v>213250</v>
      </c>
      <c r="H16" s="34" t="s">
        <v>16</v>
      </c>
      <c r="I16" s="34" t="s">
        <v>267</v>
      </c>
      <c r="J16" s="51">
        <v>0.45300000000000001</v>
      </c>
      <c r="K16" s="52">
        <f t="shared" si="0"/>
        <v>96602.25</v>
      </c>
    </row>
    <row r="17" spans="1:11" x14ac:dyDescent="0.25">
      <c r="A17" s="7">
        <v>16</v>
      </c>
      <c r="B17" s="45" t="s">
        <v>298</v>
      </c>
      <c r="C17" s="33" t="s">
        <v>299</v>
      </c>
      <c r="D17" s="10" t="s">
        <v>201</v>
      </c>
      <c r="E17" s="10" t="s">
        <v>21</v>
      </c>
      <c r="F17" s="10" t="s">
        <v>22</v>
      </c>
      <c r="G17" s="50">
        <v>3662500</v>
      </c>
      <c r="H17" s="34" t="s">
        <v>16</v>
      </c>
      <c r="I17" s="34" t="s">
        <v>267</v>
      </c>
      <c r="J17" s="51">
        <v>3.9600000000000003E-2</v>
      </c>
      <c r="K17" s="31">
        <f t="shared" si="0"/>
        <v>145035</v>
      </c>
    </row>
    <row r="18" spans="1:11" x14ac:dyDescent="0.25">
      <c r="A18" s="7">
        <v>17</v>
      </c>
      <c r="B18" s="45" t="s">
        <v>300</v>
      </c>
      <c r="C18" s="20" t="s">
        <v>301</v>
      </c>
      <c r="D18" s="10" t="s">
        <v>26</v>
      </c>
      <c r="E18" s="10" t="s">
        <v>73</v>
      </c>
      <c r="F18" s="10" t="s">
        <v>63</v>
      </c>
      <c r="G18" s="50">
        <v>44000</v>
      </c>
      <c r="H18" s="34" t="s">
        <v>16</v>
      </c>
      <c r="I18" s="34" t="s">
        <v>267</v>
      </c>
      <c r="J18" s="51">
        <v>0.45860000000000001</v>
      </c>
      <c r="K18" s="52">
        <f t="shared" si="0"/>
        <v>20178.400000000001</v>
      </c>
    </row>
    <row r="19" spans="1:11" ht="25.5" x14ac:dyDescent="0.25">
      <c r="A19" s="7">
        <v>18</v>
      </c>
      <c r="B19" s="45" t="s">
        <v>302</v>
      </c>
      <c r="C19" s="20" t="s">
        <v>303</v>
      </c>
      <c r="D19" s="10" t="s">
        <v>26</v>
      </c>
      <c r="E19" s="10" t="s">
        <v>304</v>
      </c>
      <c r="F19" s="10" t="s">
        <v>22</v>
      </c>
      <c r="G19" s="50">
        <v>1325000</v>
      </c>
      <c r="H19" s="34" t="s">
        <v>16</v>
      </c>
      <c r="I19" s="34" t="s">
        <v>267</v>
      </c>
      <c r="J19" s="51">
        <v>0.1245</v>
      </c>
      <c r="K19" s="31">
        <f t="shared" si="0"/>
        <v>164962.5</v>
      </c>
    </row>
    <row r="20" spans="1:11" ht="25.5" x14ac:dyDescent="0.25">
      <c r="A20" s="7">
        <v>19</v>
      </c>
      <c r="B20" s="45" t="s">
        <v>305</v>
      </c>
      <c r="C20" s="15" t="s">
        <v>306</v>
      </c>
      <c r="D20" s="10" t="s">
        <v>26</v>
      </c>
      <c r="E20" s="10" t="s">
        <v>14</v>
      </c>
      <c r="F20" s="10" t="s">
        <v>94</v>
      </c>
      <c r="G20" s="50">
        <v>316500</v>
      </c>
      <c r="H20" s="34" t="s">
        <v>16</v>
      </c>
      <c r="I20" s="34" t="s">
        <v>267</v>
      </c>
      <c r="J20" s="51">
        <v>5.8200000000000002E-2</v>
      </c>
      <c r="K20" s="52">
        <f t="shared" si="0"/>
        <v>18420.3</v>
      </c>
    </row>
    <row r="21" spans="1:11" ht="38.25" x14ac:dyDescent="0.25">
      <c r="A21" s="7">
        <v>20</v>
      </c>
      <c r="B21" s="45" t="s">
        <v>307</v>
      </c>
      <c r="C21" s="15" t="s">
        <v>308</v>
      </c>
      <c r="D21" s="10" t="s">
        <v>13</v>
      </c>
      <c r="E21" s="10" t="s">
        <v>104</v>
      </c>
      <c r="F21" s="10" t="s">
        <v>22</v>
      </c>
      <c r="G21" s="50">
        <v>3545000</v>
      </c>
      <c r="H21" s="34" t="s">
        <v>16</v>
      </c>
      <c r="I21" s="34" t="s">
        <v>267</v>
      </c>
      <c r="J21" s="51">
        <v>3.2000000000000002E-3</v>
      </c>
      <c r="K21" s="52">
        <f t="shared" si="0"/>
        <v>11344</v>
      </c>
    </row>
    <row r="22" spans="1:11" ht="25.5" x14ac:dyDescent="0.25">
      <c r="A22" s="7">
        <v>21</v>
      </c>
      <c r="B22" s="45" t="s">
        <v>309</v>
      </c>
      <c r="C22" s="20" t="s">
        <v>310</v>
      </c>
      <c r="D22" s="10" t="s">
        <v>13</v>
      </c>
      <c r="E22" s="10" t="s">
        <v>311</v>
      </c>
      <c r="F22" s="10" t="s">
        <v>63</v>
      </c>
      <c r="G22" s="50">
        <v>96000</v>
      </c>
      <c r="H22" s="34" t="s">
        <v>16</v>
      </c>
      <c r="I22" s="15" t="s">
        <v>267</v>
      </c>
      <c r="J22" s="51">
        <v>0.75</v>
      </c>
      <c r="K22" s="52">
        <f t="shared" si="0"/>
        <v>72000</v>
      </c>
    </row>
    <row r="23" spans="1:11" ht="38.25" x14ac:dyDescent="0.25">
      <c r="A23" s="7">
        <v>22</v>
      </c>
      <c r="B23" s="45" t="s">
        <v>312</v>
      </c>
      <c r="C23" s="28" t="s">
        <v>329</v>
      </c>
      <c r="D23" s="10" t="s">
        <v>35</v>
      </c>
      <c r="E23" s="10" t="s">
        <v>79</v>
      </c>
      <c r="F23" s="10" t="s">
        <v>43</v>
      </c>
      <c r="G23" s="50">
        <v>97500</v>
      </c>
      <c r="H23" s="34" t="s">
        <v>16</v>
      </c>
      <c r="I23" s="34" t="s">
        <v>267</v>
      </c>
      <c r="J23" s="57">
        <v>0.98819999999999997</v>
      </c>
      <c r="K23" s="52">
        <f t="shared" si="0"/>
        <v>96349.5</v>
      </c>
    </row>
    <row r="24" spans="1:11" ht="25.5" x14ac:dyDescent="0.25">
      <c r="A24" s="7">
        <v>23</v>
      </c>
      <c r="B24" s="45" t="s">
        <v>313</v>
      </c>
      <c r="C24" s="28" t="s">
        <v>314</v>
      </c>
      <c r="D24" s="10" t="s">
        <v>35</v>
      </c>
      <c r="E24" s="10" t="s">
        <v>76</v>
      </c>
      <c r="F24" s="10" t="s">
        <v>43</v>
      </c>
      <c r="G24" s="50">
        <v>45150</v>
      </c>
      <c r="H24" s="34" t="s">
        <v>16</v>
      </c>
      <c r="I24" s="34" t="s">
        <v>267</v>
      </c>
      <c r="J24" s="51">
        <v>0.80520000000000003</v>
      </c>
      <c r="K24" s="52">
        <f t="shared" si="0"/>
        <v>36354.78</v>
      </c>
    </row>
    <row r="25" spans="1:11" ht="25.5" x14ac:dyDescent="0.25">
      <c r="A25" s="7">
        <v>24</v>
      </c>
      <c r="B25" s="45" t="s">
        <v>315</v>
      </c>
      <c r="C25" s="33" t="s">
        <v>316</v>
      </c>
      <c r="D25" s="10" t="s">
        <v>13</v>
      </c>
      <c r="E25" s="10" t="s">
        <v>21</v>
      </c>
      <c r="F25" s="10" t="s">
        <v>22</v>
      </c>
      <c r="G25" s="50">
        <v>1253325</v>
      </c>
      <c r="H25" s="34" t="s">
        <v>16</v>
      </c>
      <c r="I25" s="34" t="s">
        <v>267</v>
      </c>
      <c r="J25" s="51">
        <v>4.5100000000000001E-2</v>
      </c>
      <c r="K25" s="31">
        <f t="shared" si="0"/>
        <v>56524.957500000004</v>
      </c>
    </row>
    <row r="26" spans="1:11" x14ac:dyDescent="0.25">
      <c r="A26" s="7">
        <v>25</v>
      </c>
      <c r="B26" s="45" t="s">
        <v>317</v>
      </c>
      <c r="C26" s="33" t="s">
        <v>318</v>
      </c>
      <c r="D26" s="10" t="s">
        <v>26</v>
      </c>
      <c r="E26" s="10" t="s">
        <v>319</v>
      </c>
      <c r="F26" s="10" t="s">
        <v>22</v>
      </c>
      <c r="G26" s="50">
        <v>25575000</v>
      </c>
      <c r="H26" s="34" t="s">
        <v>16</v>
      </c>
      <c r="I26" s="34" t="s">
        <v>267</v>
      </c>
      <c r="J26" s="51">
        <v>5.0000000000000001E-3</v>
      </c>
      <c r="K26" s="52">
        <f t="shared" si="0"/>
        <v>127875</v>
      </c>
    </row>
    <row r="27" spans="1:11" x14ac:dyDescent="0.25">
      <c r="A27" s="7">
        <v>26</v>
      </c>
      <c r="B27" s="45" t="s">
        <v>320</v>
      </c>
      <c r="C27" s="46" t="s">
        <v>321</v>
      </c>
      <c r="D27" s="10" t="s">
        <v>26</v>
      </c>
      <c r="E27" s="10" t="s">
        <v>82</v>
      </c>
      <c r="F27" s="10" t="s">
        <v>322</v>
      </c>
      <c r="G27" s="50">
        <v>207500</v>
      </c>
      <c r="H27" s="34" t="s">
        <v>16</v>
      </c>
      <c r="I27" s="34" t="s">
        <v>267</v>
      </c>
      <c r="J27" s="51">
        <v>4.5400000000000003E-2</v>
      </c>
      <c r="K27" s="52">
        <f t="shared" si="0"/>
        <v>9420.5</v>
      </c>
    </row>
    <row r="28" spans="1:11" ht="25.5" x14ac:dyDescent="0.25">
      <c r="A28" s="7">
        <v>27</v>
      </c>
      <c r="B28" s="45" t="s">
        <v>323</v>
      </c>
      <c r="C28" s="28" t="s">
        <v>324</v>
      </c>
      <c r="D28" s="10" t="s">
        <v>35</v>
      </c>
      <c r="E28" s="10" t="s">
        <v>194</v>
      </c>
      <c r="F28" s="15" t="s">
        <v>203</v>
      </c>
      <c r="G28" s="50">
        <v>5463</v>
      </c>
      <c r="H28" s="34" t="s">
        <v>16</v>
      </c>
      <c r="I28" s="34" t="s">
        <v>267</v>
      </c>
      <c r="J28" s="51">
        <v>1.0580000000000001</v>
      </c>
      <c r="K28" s="31">
        <f t="shared" si="0"/>
        <v>5779.8540000000003</v>
      </c>
    </row>
    <row r="29" spans="1:11" ht="25.5" x14ac:dyDescent="0.25">
      <c r="A29" s="7">
        <v>28</v>
      </c>
      <c r="B29" s="45" t="s">
        <v>325</v>
      </c>
      <c r="C29" s="28" t="s">
        <v>326</v>
      </c>
      <c r="D29" s="10" t="s">
        <v>13</v>
      </c>
      <c r="E29" s="10" t="s">
        <v>264</v>
      </c>
      <c r="F29" s="10" t="s">
        <v>265</v>
      </c>
      <c r="G29" s="50">
        <v>22575</v>
      </c>
      <c r="H29" s="34" t="s">
        <v>16</v>
      </c>
      <c r="I29" s="34" t="s">
        <v>267</v>
      </c>
      <c r="J29" s="51">
        <v>0.49120000000000003</v>
      </c>
      <c r="K29" s="52">
        <f t="shared" si="0"/>
        <v>11088.84</v>
      </c>
    </row>
    <row r="30" spans="1:11" x14ac:dyDescent="0.25">
      <c r="A30" s="7"/>
      <c r="B30" s="96" t="s">
        <v>330</v>
      </c>
      <c r="C30" s="96"/>
      <c r="D30" s="96"/>
      <c r="E30" s="96"/>
      <c r="F30" s="96"/>
      <c r="G30" s="96"/>
      <c r="H30" s="96"/>
      <c r="I30" s="96"/>
      <c r="J30" s="96"/>
      <c r="K30" s="62">
        <f>SUM(K2:K29)</f>
        <v>2058655.6065000002</v>
      </c>
    </row>
    <row r="31" spans="1:11" x14ac:dyDescent="0.25">
      <c r="A31" s="95" t="s">
        <v>327</v>
      </c>
      <c r="B31" s="95"/>
      <c r="C31" s="95"/>
      <c r="D31" s="95"/>
      <c r="E31" s="95"/>
      <c r="F31" s="95"/>
      <c r="G31" s="95"/>
      <c r="H31" s="95"/>
      <c r="I31" s="58"/>
    </row>
    <row r="32" spans="1:11" x14ac:dyDescent="0.25">
      <c r="I32" s="58"/>
    </row>
    <row r="33" spans="9:9" x14ac:dyDescent="0.25">
      <c r="I33" s="58"/>
    </row>
    <row r="34" spans="9:9" x14ac:dyDescent="0.25">
      <c r="I34" s="59"/>
    </row>
    <row r="36" spans="9:9" x14ac:dyDescent="0.25">
      <c r="I36" s="58"/>
    </row>
    <row r="37" spans="9:9" x14ac:dyDescent="0.25">
      <c r="I37" s="60"/>
    </row>
    <row r="40" spans="9:9" x14ac:dyDescent="0.25">
      <c r="I40" s="58"/>
    </row>
    <row r="41" spans="9:9" x14ac:dyDescent="0.25">
      <c r="I41" s="60"/>
    </row>
    <row r="42" spans="9:9" x14ac:dyDescent="0.25">
      <c r="I42" s="58"/>
    </row>
    <row r="43" spans="9:9" x14ac:dyDescent="0.25">
      <c r="I43" s="58"/>
    </row>
    <row r="45" spans="9:9" x14ac:dyDescent="0.25">
      <c r="I45" s="58"/>
    </row>
    <row r="48" spans="9:9" x14ac:dyDescent="0.25">
      <c r="I48" s="59"/>
    </row>
    <row r="49" spans="9:9" x14ac:dyDescent="0.25">
      <c r="I49" s="37"/>
    </row>
    <row r="50" spans="9:9" x14ac:dyDescent="0.25">
      <c r="I50" s="61"/>
    </row>
    <row r="51" spans="9:9" x14ac:dyDescent="0.25">
      <c r="I51" s="58"/>
    </row>
    <row r="53" spans="9:9" x14ac:dyDescent="0.25">
      <c r="I53" s="58"/>
    </row>
    <row r="54" spans="9:9" x14ac:dyDescent="0.25">
      <c r="I54" s="60"/>
    </row>
    <row r="61" spans="9:9" x14ac:dyDescent="0.25">
      <c r="I61" s="59"/>
    </row>
    <row r="62" spans="9:9" x14ac:dyDescent="0.25">
      <c r="I62" s="60"/>
    </row>
    <row r="65" spans="9:9" x14ac:dyDescent="0.25">
      <c r="I65" s="58"/>
    </row>
    <row r="67" spans="9:9" x14ac:dyDescent="0.25">
      <c r="I67" s="58"/>
    </row>
    <row r="69" spans="9:9" x14ac:dyDescent="0.25">
      <c r="I69" s="59"/>
    </row>
    <row r="70" spans="9:9" x14ac:dyDescent="0.25">
      <c r="I70" s="60"/>
    </row>
    <row r="71" spans="9:9" x14ac:dyDescent="0.25">
      <c r="I71" s="59"/>
    </row>
    <row r="72" spans="9:9" x14ac:dyDescent="0.25">
      <c r="I72" s="59"/>
    </row>
    <row r="73" spans="9:9" x14ac:dyDescent="0.25">
      <c r="I73" s="59"/>
    </row>
    <row r="75" spans="9:9" x14ac:dyDescent="0.25">
      <c r="I75" s="59"/>
    </row>
    <row r="76" spans="9:9" x14ac:dyDescent="0.25">
      <c r="I76" s="59"/>
    </row>
    <row r="77" spans="9:9" x14ac:dyDescent="0.25">
      <c r="I77" s="58"/>
    </row>
    <row r="82" spans="9:9" x14ac:dyDescent="0.25">
      <c r="I82" s="58"/>
    </row>
    <row r="83" spans="9:9" x14ac:dyDescent="0.25">
      <c r="I83" s="60"/>
    </row>
    <row r="84" spans="9:9" x14ac:dyDescent="0.25">
      <c r="I84" s="60"/>
    </row>
    <row r="85" spans="9:9" x14ac:dyDescent="0.25">
      <c r="I85" s="60"/>
    </row>
    <row r="86" spans="9:9" x14ac:dyDescent="0.25">
      <c r="I86" s="60"/>
    </row>
    <row r="89" spans="9:9" x14ac:dyDescent="0.25">
      <c r="I89" s="58"/>
    </row>
    <row r="90" spans="9:9" x14ac:dyDescent="0.25">
      <c r="I90" s="60"/>
    </row>
    <row r="95" spans="9:9" x14ac:dyDescent="0.25">
      <c r="I95" s="59"/>
    </row>
    <row r="96" spans="9:9" x14ac:dyDescent="0.25">
      <c r="I96" s="59"/>
    </row>
    <row r="97" spans="9:9" x14ac:dyDescent="0.25">
      <c r="I97" s="59"/>
    </row>
    <row r="98" spans="9:9" x14ac:dyDescent="0.25">
      <c r="I98" s="58"/>
    </row>
    <row r="99" spans="9:9" x14ac:dyDescent="0.25">
      <c r="I99" s="58"/>
    </row>
    <row r="101" spans="9:9" x14ac:dyDescent="0.25">
      <c r="I101" s="58"/>
    </row>
    <row r="105" spans="9:9" x14ac:dyDescent="0.25">
      <c r="I105" s="58"/>
    </row>
    <row r="106" spans="9:9" x14ac:dyDescent="0.25">
      <c r="I106" s="58"/>
    </row>
    <row r="108" spans="9:9" x14ac:dyDescent="0.25">
      <c r="I108" s="58"/>
    </row>
    <row r="114" spans="9:9" x14ac:dyDescent="0.25">
      <c r="I114" s="40"/>
    </row>
  </sheetData>
  <mergeCells count="2">
    <mergeCell ref="A31:H31"/>
    <mergeCell ref="B30:J3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workbookViewId="0">
      <selection activeCell="N4" sqref="N4"/>
    </sheetView>
  </sheetViews>
  <sheetFormatPr defaultRowHeight="16.5" x14ac:dyDescent="0.3"/>
  <cols>
    <col min="1" max="1" width="2.7109375" style="1" customWidth="1"/>
    <col min="2" max="2" width="7.28515625" style="1" customWidth="1"/>
    <col min="3" max="3" width="31.140625" style="24" customWidth="1"/>
    <col min="4" max="4" width="11" style="1" customWidth="1"/>
    <col min="5" max="5" width="16.140625" style="1" customWidth="1"/>
    <col min="6" max="6" width="9.7109375" style="1" customWidth="1"/>
    <col min="7" max="7" width="10.5703125" style="1" customWidth="1"/>
    <col min="8" max="8" width="9.7109375" style="24" customWidth="1"/>
    <col min="9" max="9" width="17.85546875" style="24" customWidth="1"/>
    <col min="10" max="10" width="8.85546875" style="1"/>
    <col min="11" max="11" width="12" style="1" customWidth="1"/>
    <col min="12" max="14" width="8.85546875" style="69"/>
  </cols>
  <sheetData>
    <row r="1" spans="1:11" x14ac:dyDescent="0.3">
      <c r="A1" s="1" t="s">
        <v>353</v>
      </c>
    </row>
    <row r="2" spans="1:11" ht="5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5" t="s">
        <v>7</v>
      </c>
      <c r="I2" s="48" t="s">
        <v>8</v>
      </c>
      <c r="J2" s="35" t="s">
        <v>9</v>
      </c>
      <c r="K2" s="35" t="s">
        <v>344</v>
      </c>
    </row>
    <row r="3" spans="1:11" x14ac:dyDescent="0.3">
      <c r="A3" s="7">
        <v>1</v>
      </c>
      <c r="B3" s="44">
        <v>1000</v>
      </c>
      <c r="C3" s="33" t="s">
        <v>266</v>
      </c>
      <c r="D3" s="10" t="s">
        <v>13</v>
      </c>
      <c r="E3" s="10" t="s">
        <v>104</v>
      </c>
      <c r="F3" s="10" t="s">
        <v>22</v>
      </c>
      <c r="G3" s="70">
        <v>2004000</v>
      </c>
      <c r="H3" s="34" t="s">
        <v>16</v>
      </c>
      <c r="I3" s="34" t="s">
        <v>267</v>
      </c>
      <c r="J3" s="51">
        <v>6.0000000000000001E-3</v>
      </c>
      <c r="K3" s="56">
        <f t="shared" ref="K3:K28" si="0">+G3*J3</f>
        <v>12024</v>
      </c>
    </row>
    <row r="4" spans="1:11" x14ac:dyDescent="0.3">
      <c r="A4" s="12">
        <v>2</v>
      </c>
      <c r="B4" s="25" t="s">
        <v>268</v>
      </c>
      <c r="C4" s="28" t="s">
        <v>269</v>
      </c>
      <c r="D4" s="15" t="s">
        <v>13</v>
      </c>
      <c r="E4" s="15" t="s">
        <v>21</v>
      </c>
      <c r="F4" s="15" t="s">
        <v>22</v>
      </c>
      <c r="G4" s="71">
        <v>2592000</v>
      </c>
      <c r="H4" s="34" t="s">
        <v>16</v>
      </c>
      <c r="I4" s="34" t="s">
        <v>267</v>
      </c>
      <c r="J4" s="51">
        <v>1.5100000000000001E-2</v>
      </c>
      <c r="K4" s="56">
        <f t="shared" si="0"/>
        <v>39139.200000000004</v>
      </c>
    </row>
    <row r="5" spans="1:11" x14ac:dyDescent="0.3">
      <c r="A5" s="7">
        <v>3</v>
      </c>
      <c r="B5" s="16" t="s">
        <v>270</v>
      </c>
      <c r="C5" s="28" t="s">
        <v>271</v>
      </c>
      <c r="D5" s="10" t="s">
        <v>13</v>
      </c>
      <c r="E5" s="53">
        <v>3</v>
      </c>
      <c r="F5" s="10" t="s">
        <v>22</v>
      </c>
      <c r="G5" s="70">
        <v>16320</v>
      </c>
      <c r="H5" s="72" t="s">
        <v>16</v>
      </c>
      <c r="I5" s="72" t="s">
        <v>267</v>
      </c>
      <c r="J5" s="51">
        <v>0.44500000000000001</v>
      </c>
      <c r="K5" s="56">
        <f t="shared" si="0"/>
        <v>7262.4000000000005</v>
      </c>
    </row>
    <row r="6" spans="1:11" x14ac:dyDescent="0.3">
      <c r="A6" s="7">
        <v>4</v>
      </c>
      <c r="B6" s="16" t="s">
        <v>272</v>
      </c>
      <c r="C6" s="28" t="s">
        <v>273</v>
      </c>
      <c r="D6" s="10" t="s">
        <v>13</v>
      </c>
      <c r="E6" s="10" t="s">
        <v>27</v>
      </c>
      <c r="F6" s="10" t="s">
        <v>43</v>
      </c>
      <c r="G6" s="70">
        <v>160000</v>
      </c>
      <c r="H6" s="72" t="s">
        <v>16</v>
      </c>
      <c r="I6" s="72" t="s">
        <v>267</v>
      </c>
      <c r="J6" s="51">
        <v>0.184</v>
      </c>
      <c r="K6" s="56">
        <f t="shared" si="0"/>
        <v>29440</v>
      </c>
    </row>
    <row r="7" spans="1:11" x14ac:dyDescent="0.3">
      <c r="A7" s="7">
        <v>5</v>
      </c>
      <c r="B7" s="16" t="s">
        <v>274</v>
      </c>
      <c r="C7" s="28" t="s">
        <v>275</v>
      </c>
      <c r="D7" s="10" t="s">
        <v>26</v>
      </c>
      <c r="E7" s="10" t="s">
        <v>73</v>
      </c>
      <c r="F7" s="10" t="s">
        <v>15</v>
      </c>
      <c r="G7" s="70">
        <v>173200</v>
      </c>
      <c r="H7" s="72" t="s">
        <v>16</v>
      </c>
      <c r="I7" s="72" t="s">
        <v>267</v>
      </c>
      <c r="J7" s="51">
        <v>1.0500000000000001E-2</v>
      </c>
      <c r="K7" s="56">
        <f t="shared" si="0"/>
        <v>1818.6000000000001</v>
      </c>
    </row>
    <row r="8" spans="1:11" x14ac:dyDescent="0.3">
      <c r="A8" s="12">
        <v>6</v>
      </c>
      <c r="B8" s="25" t="s">
        <v>276</v>
      </c>
      <c r="C8" s="28" t="s">
        <v>277</v>
      </c>
      <c r="D8" s="15" t="s">
        <v>13</v>
      </c>
      <c r="E8" s="15" t="s">
        <v>255</v>
      </c>
      <c r="F8" s="15" t="s">
        <v>22</v>
      </c>
      <c r="G8" s="71">
        <v>4212000</v>
      </c>
      <c r="H8" s="73" t="s">
        <v>16</v>
      </c>
      <c r="I8" s="73" t="s">
        <v>267</v>
      </c>
      <c r="J8" s="32">
        <v>7.4999999999999997E-3</v>
      </c>
      <c r="K8" s="66">
        <f t="shared" si="0"/>
        <v>31590</v>
      </c>
    </row>
    <row r="9" spans="1:11" ht="30" customHeight="1" x14ac:dyDescent="0.3">
      <c r="A9" s="7">
        <v>7</v>
      </c>
      <c r="B9" s="16" t="s">
        <v>278</v>
      </c>
      <c r="C9" s="28" t="s">
        <v>328</v>
      </c>
      <c r="D9" s="10" t="s">
        <v>35</v>
      </c>
      <c r="E9" s="10" t="s">
        <v>229</v>
      </c>
      <c r="F9" s="15" t="s">
        <v>345</v>
      </c>
      <c r="G9" s="70">
        <v>574000</v>
      </c>
      <c r="H9" s="34" t="s">
        <v>16</v>
      </c>
      <c r="I9" s="34" t="s">
        <v>267</v>
      </c>
      <c r="J9" s="51">
        <v>0.35599999999999998</v>
      </c>
      <c r="K9" s="56">
        <f t="shared" si="0"/>
        <v>204344</v>
      </c>
    </row>
    <row r="10" spans="1:11" x14ac:dyDescent="0.3">
      <c r="A10" s="7">
        <v>8</v>
      </c>
      <c r="B10" s="16" t="s">
        <v>280</v>
      </c>
      <c r="C10" s="28" t="s">
        <v>281</v>
      </c>
      <c r="D10" s="10" t="s">
        <v>26</v>
      </c>
      <c r="E10" s="10" t="s">
        <v>229</v>
      </c>
      <c r="F10" s="10" t="s">
        <v>15</v>
      </c>
      <c r="G10" s="70">
        <v>400000</v>
      </c>
      <c r="H10" s="34" t="s">
        <v>16</v>
      </c>
      <c r="I10" s="34" t="s">
        <v>267</v>
      </c>
      <c r="J10" s="51">
        <v>9.9900000000000003E-2</v>
      </c>
      <c r="K10" s="56">
        <f t="shared" si="0"/>
        <v>39960</v>
      </c>
    </row>
    <row r="11" spans="1:11" ht="30" customHeight="1" x14ac:dyDescent="0.3">
      <c r="A11" s="7">
        <v>9</v>
      </c>
      <c r="B11" s="16" t="s">
        <v>282</v>
      </c>
      <c r="C11" s="28" t="s">
        <v>346</v>
      </c>
      <c r="D11" s="10" t="s">
        <v>142</v>
      </c>
      <c r="E11" s="10" t="s">
        <v>229</v>
      </c>
      <c r="F11" s="10" t="s">
        <v>15</v>
      </c>
      <c r="G11" s="70">
        <v>1200000</v>
      </c>
      <c r="H11" s="34" t="s">
        <v>16</v>
      </c>
      <c r="I11" s="34" t="s">
        <v>267</v>
      </c>
      <c r="J11" s="51">
        <v>0.34799999999999998</v>
      </c>
      <c r="K11" s="56">
        <f t="shared" si="0"/>
        <v>417600</v>
      </c>
    </row>
    <row r="12" spans="1:11" ht="25.5" x14ac:dyDescent="0.3">
      <c r="A12" s="7">
        <v>10</v>
      </c>
      <c r="B12" s="16" t="s">
        <v>284</v>
      </c>
      <c r="C12" s="28" t="s">
        <v>285</v>
      </c>
      <c r="D12" s="10" t="s">
        <v>142</v>
      </c>
      <c r="E12" s="10" t="s">
        <v>76</v>
      </c>
      <c r="F12" s="10" t="s">
        <v>22</v>
      </c>
      <c r="G12" s="70">
        <v>784000</v>
      </c>
      <c r="H12" s="34" t="s">
        <v>16</v>
      </c>
      <c r="I12" s="34" t="s">
        <v>267</v>
      </c>
      <c r="J12" s="51">
        <v>0.52339999999999998</v>
      </c>
      <c r="K12" s="56">
        <f t="shared" si="0"/>
        <v>410345.6</v>
      </c>
    </row>
    <row r="13" spans="1:11" x14ac:dyDescent="0.3">
      <c r="A13" s="7">
        <v>11</v>
      </c>
      <c r="B13" s="16" t="s">
        <v>286</v>
      </c>
      <c r="C13" s="28" t="s">
        <v>287</v>
      </c>
      <c r="D13" s="10" t="s">
        <v>13</v>
      </c>
      <c r="E13" s="10" t="s">
        <v>21</v>
      </c>
      <c r="F13" s="10" t="s">
        <v>22</v>
      </c>
      <c r="G13" s="70">
        <v>229456</v>
      </c>
      <c r="H13" s="72" t="s">
        <v>16</v>
      </c>
      <c r="I13" s="72" t="s">
        <v>267</v>
      </c>
      <c r="J13" s="55">
        <v>0.45</v>
      </c>
      <c r="K13" s="56">
        <f t="shared" si="0"/>
        <v>103255.2</v>
      </c>
    </row>
    <row r="14" spans="1:11" x14ac:dyDescent="0.3">
      <c r="A14" s="7">
        <v>12</v>
      </c>
      <c r="B14" s="16" t="s">
        <v>288</v>
      </c>
      <c r="C14" s="28" t="s">
        <v>289</v>
      </c>
      <c r="D14" s="10" t="s">
        <v>13</v>
      </c>
      <c r="E14" s="10" t="s">
        <v>290</v>
      </c>
      <c r="F14" s="10" t="s">
        <v>22</v>
      </c>
      <c r="G14" s="70">
        <v>704000</v>
      </c>
      <c r="H14" s="34" t="s">
        <v>16</v>
      </c>
      <c r="I14" s="34" t="s">
        <v>267</v>
      </c>
      <c r="J14" s="51">
        <v>5.5E-2</v>
      </c>
      <c r="K14" s="56">
        <f t="shared" si="0"/>
        <v>38720</v>
      </c>
    </row>
    <row r="15" spans="1:11" x14ac:dyDescent="0.3">
      <c r="A15" s="7">
        <v>13</v>
      </c>
      <c r="B15" s="16" t="s">
        <v>291</v>
      </c>
      <c r="C15" s="28" t="s">
        <v>292</v>
      </c>
      <c r="D15" s="10" t="s">
        <v>13</v>
      </c>
      <c r="E15" s="10" t="s">
        <v>229</v>
      </c>
      <c r="F15" s="10" t="s">
        <v>43</v>
      </c>
      <c r="G15" s="70">
        <v>384800</v>
      </c>
      <c r="H15" s="34" t="s">
        <v>16</v>
      </c>
      <c r="I15" s="34" t="s">
        <v>36</v>
      </c>
      <c r="J15" s="32">
        <v>0.32369999999999999</v>
      </c>
      <c r="K15" s="56">
        <f t="shared" si="0"/>
        <v>124559.76</v>
      </c>
    </row>
    <row r="16" spans="1:11" x14ac:dyDescent="0.3">
      <c r="A16" s="7">
        <v>14</v>
      </c>
      <c r="B16" s="9" t="s">
        <v>293</v>
      </c>
      <c r="C16" s="33" t="s">
        <v>294</v>
      </c>
      <c r="D16" s="10" t="s">
        <v>35</v>
      </c>
      <c r="E16" s="10" t="s">
        <v>76</v>
      </c>
      <c r="F16" s="10" t="s">
        <v>22</v>
      </c>
      <c r="G16" s="70">
        <v>1180000</v>
      </c>
      <c r="H16" s="34" t="s">
        <v>16</v>
      </c>
      <c r="I16" s="34" t="s">
        <v>267</v>
      </c>
      <c r="J16" s="51">
        <v>0.35799999999999998</v>
      </c>
      <c r="K16" s="56">
        <f t="shared" si="0"/>
        <v>422440</v>
      </c>
    </row>
    <row r="17" spans="1:11" ht="25.5" x14ac:dyDescent="0.3">
      <c r="A17" s="7">
        <v>15</v>
      </c>
      <c r="B17" s="9" t="s">
        <v>295</v>
      </c>
      <c r="C17" s="28" t="s">
        <v>296</v>
      </c>
      <c r="D17" s="10" t="s">
        <v>13</v>
      </c>
      <c r="E17" s="10" t="s">
        <v>229</v>
      </c>
      <c r="F17" s="28" t="s">
        <v>297</v>
      </c>
      <c r="G17" s="70">
        <v>341200</v>
      </c>
      <c r="H17" s="34" t="s">
        <v>16</v>
      </c>
      <c r="I17" s="34" t="s">
        <v>267</v>
      </c>
      <c r="J17" s="51">
        <v>0.45300000000000001</v>
      </c>
      <c r="K17" s="56">
        <f t="shared" si="0"/>
        <v>154563.6</v>
      </c>
    </row>
    <row r="18" spans="1:11" x14ac:dyDescent="0.3">
      <c r="A18" s="7">
        <v>16</v>
      </c>
      <c r="B18" s="9" t="s">
        <v>298</v>
      </c>
      <c r="C18" s="33" t="s">
        <v>299</v>
      </c>
      <c r="D18" s="10" t="s">
        <v>201</v>
      </c>
      <c r="E18" s="10" t="s">
        <v>21</v>
      </c>
      <c r="F18" s="10" t="s">
        <v>22</v>
      </c>
      <c r="G18" s="70">
        <v>5860000</v>
      </c>
      <c r="H18" s="34" t="s">
        <v>16</v>
      </c>
      <c r="I18" s="34" t="s">
        <v>267</v>
      </c>
      <c r="J18" s="51">
        <v>3.9600000000000003E-2</v>
      </c>
      <c r="K18" s="56">
        <f t="shared" si="0"/>
        <v>232056.00000000003</v>
      </c>
    </row>
    <row r="19" spans="1:11" x14ac:dyDescent="0.3">
      <c r="A19" s="7">
        <v>17</v>
      </c>
      <c r="B19" s="9" t="s">
        <v>300</v>
      </c>
      <c r="C19" s="28" t="s">
        <v>301</v>
      </c>
      <c r="D19" s="10" t="s">
        <v>26</v>
      </c>
      <c r="E19" s="10" t="s">
        <v>73</v>
      </c>
      <c r="F19" s="10" t="s">
        <v>63</v>
      </c>
      <c r="G19" s="70">
        <v>70400</v>
      </c>
      <c r="H19" s="34" t="s">
        <v>16</v>
      </c>
      <c r="I19" s="34" t="s">
        <v>267</v>
      </c>
      <c r="J19" s="51">
        <v>0.45860000000000001</v>
      </c>
      <c r="K19" s="56">
        <f t="shared" si="0"/>
        <v>32285.440000000002</v>
      </c>
    </row>
    <row r="20" spans="1:11" x14ac:dyDescent="0.3">
      <c r="A20" s="7">
        <v>18</v>
      </c>
      <c r="B20" s="18" t="s">
        <v>302</v>
      </c>
      <c r="C20" s="28" t="s">
        <v>303</v>
      </c>
      <c r="D20" s="10" t="s">
        <v>26</v>
      </c>
      <c r="E20" s="10" t="s">
        <v>304</v>
      </c>
      <c r="F20" s="10" t="s">
        <v>22</v>
      </c>
      <c r="G20" s="70">
        <v>2120000</v>
      </c>
      <c r="H20" s="34" t="s">
        <v>16</v>
      </c>
      <c r="I20" s="34" t="s">
        <v>267</v>
      </c>
      <c r="J20" s="51">
        <v>0.1245</v>
      </c>
      <c r="K20" s="56">
        <f t="shared" si="0"/>
        <v>263940</v>
      </c>
    </row>
    <row r="21" spans="1:11" ht="25.5" x14ac:dyDescent="0.3">
      <c r="A21" s="7">
        <v>19</v>
      </c>
      <c r="B21" s="18" t="s">
        <v>305</v>
      </c>
      <c r="C21" s="28" t="s">
        <v>306</v>
      </c>
      <c r="D21" s="10" t="s">
        <v>26</v>
      </c>
      <c r="E21" s="10" t="s">
        <v>14</v>
      </c>
      <c r="F21" s="10" t="s">
        <v>94</v>
      </c>
      <c r="G21" s="70">
        <v>506400</v>
      </c>
      <c r="H21" s="34" t="s">
        <v>16</v>
      </c>
      <c r="I21" s="34" t="s">
        <v>267</v>
      </c>
      <c r="J21" s="51">
        <v>5.8200000000000002E-2</v>
      </c>
      <c r="K21" s="56">
        <f t="shared" si="0"/>
        <v>29472.48</v>
      </c>
    </row>
    <row r="22" spans="1:11" ht="25.5" x14ac:dyDescent="0.3">
      <c r="A22" s="7">
        <v>20</v>
      </c>
      <c r="B22" s="9" t="s">
        <v>307</v>
      </c>
      <c r="C22" s="28" t="s">
        <v>308</v>
      </c>
      <c r="D22" s="10" t="s">
        <v>13</v>
      </c>
      <c r="E22" s="10" t="s">
        <v>104</v>
      </c>
      <c r="F22" s="10" t="s">
        <v>22</v>
      </c>
      <c r="G22" s="70">
        <v>5672000</v>
      </c>
      <c r="H22" s="34" t="s">
        <v>16</v>
      </c>
      <c r="I22" s="34" t="s">
        <v>267</v>
      </c>
      <c r="J22" s="51">
        <v>3.2000000000000002E-3</v>
      </c>
      <c r="K22" s="56">
        <f t="shared" si="0"/>
        <v>18150.400000000001</v>
      </c>
    </row>
    <row r="23" spans="1:11" x14ac:dyDescent="0.3">
      <c r="A23" s="7">
        <v>21</v>
      </c>
      <c r="B23" s="9" t="s">
        <v>309</v>
      </c>
      <c r="C23" s="28" t="s">
        <v>310</v>
      </c>
      <c r="D23" s="10" t="s">
        <v>13</v>
      </c>
      <c r="E23" s="10" t="s">
        <v>311</v>
      </c>
      <c r="F23" s="10" t="s">
        <v>63</v>
      </c>
      <c r="G23" s="70">
        <v>153600</v>
      </c>
      <c r="H23" s="34" t="s">
        <v>16</v>
      </c>
      <c r="I23" s="34" t="s">
        <v>267</v>
      </c>
      <c r="J23" s="32">
        <v>0.75</v>
      </c>
      <c r="K23" s="66">
        <f t="shared" si="0"/>
        <v>115200</v>
      </c>
    </row>
    <row r="24" spans="1:11" ht="25.5" x14ac:dyDescent="0.3">
      <c r="A24" s="12">
        <v>22</v>
      </c>
      <c r="B24" s="13" t="s">
        <v>312</v>
      </c>
      <c r="C24" s="28" t="s">
        <v>329</v>
      </c>
      <c r="D24" s="15" t="s">
        <v>35</v>
      </c>
      <c r="E24" s="15" t="s">
        <v>79</v>
      </c>
      <c r="F24" s="15" t="s">
        <v>43</v>
      </c>
      <c r="G24" s="71">
        <v>156000</v>
      </c>
      <c r="H24" s="34" t="s">
        <v>16</v>
      </c>
      <c r="I24" s="34" t="s">
        <v>267</v>
      </c>
      <c r="J24" s="51">
        <v>0.98819999999999997</v>
      </c>
      <c r="K24" s="56">
        <f t="shared" si="0"/>
        <v>154159.19999999998</v>
      </c>
    </row>
    <row r="25" spans="1:11" ht="25.5" x14ac:dyDescent="0.3">
      <c r="A25" s="12">
        <v>23</v>
      </c>
      <c r="B25" s="13" t="s">
        <v>313</v>
      </c>
      <c r="C25" s="28" t="s">
        <v>314</v>
      </c>
      <c r="D25" s="15" t="s">
        <v>35</v>
      </c>
      <c r="E25" s="15" t="s">
        <v>76</v>
      </c>
      <c r="F25" s="15" t="s">
        <v>43</v>
      </c>
      <c r="G25" s="71">
        <v>72240</v>
      </c>
      <c r="H25" s="34" t="s">
        <v>16</v>
      </c>
      <c r="I25" s="34" t="s">
        <v>267</v>
      </c>
      <c r="J25" s="51">
        <v>0.80520000000000003</v>
      </c>
      <c r="K25" s="56">
        <f t="shared" si="0"/>
        <v>58167.648000000001</v>
      </c>
    </row>
    <row r="26" spans="1:11" x14ac:dyDescent="0.3">
      <c r="A26" s="7">
        <v>24</v>
      </c>
      <c r="B26" s="18" t="s">
        <v>315</v>
      </c>
      <c r="C26" s="28" t="s">
        <v>316</v>
      </c>
      <c r="D26" s="10" t="s">
        <v>13</v>
      </c>
      <c r="E26" s="10" t="s">
        <v>21</v>
      </c>
      <c r="F26" s="10" t="s">
        <v>22</v>
      </c>
      <c r="G26" s="70">
        <v>2005320</v>
      </c>
      <c r="H26" s="34" t="s">
        <v>16</v>
      </c>
      <c r="I26" s="34" t="s">
        <v>267</v>
      </c>
      <c r="J26" s="51">
        <v>4.5100000000000001E-2</v>
      </c>
      <c r="K26" s="66">
        <f t="shared" si="0"/>
        <v>90439.932000000001</v>
      </c>
    </row>
    <row r="27" spans="1:11" x14ac:dyDescent="0.3">
      <c r="A27" s="7">
        <v>25</v>
      </c>
      <c r="B27" s="9" t="s">
        <v>317</v>
      </c>
      <c r="C27" s="33" t="s">
        <v>318</v>
      </c>
      <c r="D27" s="10" t="s">
        <v>26</v>
      </c>
      <c r="E27" s="10" t="s">
        <v>319</v>
      </c>
      <c r="F27" s="10" t="s">
        <v>22</v>
      </c>
      <c r="G27" s="70">
        <v>40920000</v>
      </c>
      <c r="H27" s="34" t="s">
        <v>16</v>
      </c>
      <c r="I27" s="34" t="s">
        <v>267</v>
      </c>
      <c r="J27" s="51">
        <v>5.0000000000000001E-3</v>
      </c>
      <c r="K27" s="56">
        <f t="shared" si="0"/>
        <v>204600</v>
      </c>
    </row>
    <row r="28" spans="1:11" x14ac:dyDescent="0.3">
      <c r="A28" s="7">
        <v>26</v>
      </c>
      <c r="B28" s="9" t="s">
        <v>320</v>
      </c>
      <c r="C28" s="28" t="s">
        <v>321</v>
      </c>
      <c r="D28" s="10" t="s">
        <v>26</v>
      </c>
      <c r="E28" s="10" t="s">
        <v>82</v>
      </c>
      <c r="F28" s="10" t="s">
        <v>322</v>
      </c>
      <c r="G28" s="70">
        <v>332000</v>
      </c>
      <c r="H28" s="34" t="s">
        <v>16</v>
      </c>
      <c r="I28" s="34" t="s">
        <v>267</v>
      </c>
      <c r="J28" s="51">
        <v>4.5400000000000003E-2</v>
      </c>
      <c r="K28" s="56">
        <f t="shared" si="0"/>
        <v>15072.800000000001</v>
      </c>
    </row>
    <row r="29" spans="1:11" x14ac:dyDescent="0.3">
      <c r="A29" s="12">
        <v>27</v>
      </c>
      <c r="B29" s="13" t="s">
        <v>325</v>
      </c>
      <c r="C29" s="28" t="s">
        <v>326</v>
      </c>
      <c r="D29" s="15" t="s">
        <v>13</v>
      </c>
      <c r="E29" s="15" t="s">
        <v>264</v>
      </c>
      <c r="F29" s="15" t="s">
        <v>265</v>
      </c>
      <c r="G29" s="71">
        <v>36120</v>
      </c>
      <c r="H29" s="72"/>
      <c r="I29" s="72"/>
      <c r="J29" s="74"/>
      <c r="K29" s="74"/>
    </row>
    <row r="30" spans="1:11" x14ac:dyDescent="0.3">
      <c r="A30" s="23"/>
      <c r="B30" s="97" t="s">
        <v>330</v>
      </c>
      <c r="C30" s="97"/>
      <c r="D30" s="97"/>
      <c r="E30" s="97"/>
      <c r="F30" s="97"/>
      <c r="G30" s="97"/>
      <c r="H30" s="97"/>
      <c r="I30" s="97"/>
      <c r="J30" s="97"/>
      <c r="K30" s="77">
        <f>SUM(K3:K29)</f>
        <v>3250606.26</v>
      </c>
    </row>
  </sheetData>
  <mergeCells count="1">
    <mergeCell ref="B30:J30"/>
  </mergeCells>
  <pageMargins left="0.511811024" right="0.511811024" top="0.78740157499999996" bottom="0.78740157499999996" header="0.31496062000000002" footer="0.31496062000000002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1"/>
  <sheetViews>
    <sheetView tabSelected="1" workbookViewId="0">
      <selection activeCell="L4" sqref="L4"/>
    </sheetView>
  </sheetViews>
  <sheetFormatPr defaultRowHeight="15" x14ac:dyDescent="0.25"/>
  <cols>
    <col min="1" max="1" width="2.7109375" style="1" customWidth="1"/>
    <col min="2" max="2" width="7.7109375" style="1" customWidth="1"/>
    <col min="3" max="3" width="29.7109375" style="1" customWidth="1"/>
    <col min="4" max="4" width="10.5703125" style="1" customWidth="1"/>
    <col min="5" max="5" width="17.140625" style="1" customWidth="1"/>
    <col min="6" max="6" width="10.28515625" style="1" customWidth="1"/>
    <col min="7" max="7" width="10.7109375" style="1" customWidth="1"/>
    <col min="8" max="8" width="12" style="24" customWidth="1"/>
    <col min="9" max="9" width="19.5703125" style="24" customWidth="1"/>
    <col min="10" max="10" width="13.28515625" style="1" customWidth="1"/>
    <col min="11" max="11" width="13.85546875" style="1" customWidth="1"/>
  </cols>
  <sheetData>
    <row r="1" spans="1:11" x14ac:dyDescent="0.25">
      <c r="B1" s="39" t="s">
        <v>354</v>
      </c>
      <c r="J1" s="41"/>
      <c r="K1" s="41"/>
    </row>
    <row r="2" spans="1:11" ht="38.25" x14ac:dyDescent="0.25">
      <c r="A2" s="3"/>
      <c r="B2" s="78" t="s">
        <v>1</v>
      </c>
      <c r="C2" s="78" t="s">
        <v>2</v>
      </c>
      <c r="D2" s="78" t="s">
        <v>3</v>
      </c>
      <c r="E2" s="78" t="s">
        <v>4</v>
      </c>
      <c r="F2" s="78" t="s">
        <v>5</v>
      </c>
      <c r="G2" s="78" t="s">
        <v>6</v>
      </c>
      <c r="H2" s="79" t="s">
        <v>7</v>
      </c>
      <c r="I2" s="80" t="s">
        <v>8</v>
      </c>
      <c r="J2" s="79" t="s">
        <v>9</v>
      </c>
      <c r="K2" s="78" t="s">
        <v>347</v>
      </c>
    </row>
    <row r="3" spans="1:11" ht="27" customHeight="1" x14ac:dyDescent="0.25">
      <c r="A3" s="7">
        <v>10</v>
      </c>
      <c r="B3" s="46" t="s">
        <v>54</v>
      </c>
      <c r="C3" s="33" t="s">
        <v>55</v>
      </c>
      <c r="D3" s="10" t="s">
        <v>35</v>
      </c>
      <c r="E3" s="10" t="s">
        <v>52</v>
      </c>
      <c r="F3" s="10" t="s">
        <v>53</v>
      </c>
      <c r="G3" s="50">
        <v>10200</v>
      </c>
      <c r="H3" s="86" t="s">
        <v>16</v>
      </c>
      <c r="I3" s="34" t="s">
        <v>23</v>
      </c>
      <c r="J3" s="32">
        <v>3.1520000000000001</v>
      </c>
      <c r="K3" s="66">
        <f t="shared" ref="K3:K34" si="0">+G3*J3</f>
        <v>32150.400000000001</v>
      </c>
    </row>
    <row r="4" spans="1:11" x14ac:dyDescent="0.25">
      <c r="A4" s="12">
        <v>11</v>
      </c>
      <c r="B4" s="20" t="s">
        <v>56</v>
      </c>
      <c r="C4" s="28" t="s">
        <v>57</v>
      </c>
      <c r="D4" s="15" t="s">
        <v>13</v>
      </c>
      <c r="E4" s="28"/>
      <c r="F4" s="15" t="s">
        <v>22</v>
      </c>
      <c r="G4" s="54">
        <v>23920</v>
      </c>
      <c r="H4" s="86" t="s">
        <v>16</v>
      </c>
      <c r="I4" s="34" t="s">
        <v>23</v>
      </c>
      <c r="J4" s="32">
        <v>0.82399999999999995</v>
      </c>
      <c r="K4" s="66">
        <f t="shared" si="0"/>
        <v>19710.079999999998</v>
      </c>
    </row>
    <row r="5" spans="1:11" ht="25.5" x14ac:dyDescent="0.25">
      <c r="A5" s="7">
        <v>12</v>
      </c>
      <c r="B5" s="33" t="s">
        <v>58</v>
      </c>
      <c r="C5" s="28" t="s">
        <v>59</v>
      </c>
      <c r="D5" s="10" t="s">
        <v>60</v>
      </c>
      <c r="E5" s="53">
        <v>10</v>
      </c>
      <c r="F5" s="10" t="s">
        <v>61</v>
      </c>
      <c r="G5" s="50">
        <v>762000</v>
      </c>
      <c r="H5" s="87" t="s">
        <v>16</v>
      </c>
      <c r="I5" s="88" t="s">
        <v>23</v>
      </c>
      <c r="J5" s="32">
        <v>4.4499999999999998E-2</v>
      </c>
      <c r="K5" s="66">
        <f t="shared" si="0"/>
        <v>33909</v>
      </c>
    </row>
    <row r="6" spans="1:11" ht="25.5" x14ac:dyDescent="0.25">
      <c r="A6" s="7">
        <v>13</v>
      </c>
      <c r="B6" s="33" t="s">
        <v>62</v>
      </c>
      <c r="C6" s="28" t="s">
        <v>331</v>
      </c>
      <c r="D6" s="10" t="s">
        <v>13</v>
      </c>
      <c r="E6" s="53">
        <v>5</v>
      </c>
      <c r="F6" s="10" t="s">
        <v>63</v>
      </c>
      <c r="G6" s="50">
        <v>73200</v>
      </c>
      <c r="H6" s="86" t="s">
        <v>16</v>
      </c>
      <c r="I6" s="34" t="s">
        <v>348</v>
      </c>
      <c r="J6" s="32">
        <v>0.28000000000000003</v>
      </c>
      <c r="K6" s="66">
        <f t="shared" si="0"/>
        <v>20496.000000000004</v>
      </c>
    </row>
    <row r="7" spans="1:11" x14ac:dyDescent="0.25">
      <c r="A7" s="12">
        <v>14</v>
      </c>
      <c r="B7" s="20" t="s">
        <v>64</v>
      </c>
      <c r="C7" s="28" t="s">
        <v>65</v>
      </c>
      <c r="D7" s="15" t="s">
        <v>66</v>
      </c>
      <c r="E7" s="28"/>
      <c r="F7" s="15" t="s">
        <v>67</v>
      </c>
      <c r="G7" s="54">
        <v>32760</v>
      </c>
      <c r="H7" s="87" t="s">
        <v>16</v>
      </c>
      <c r="I7" s="88" t="s">
        <v>23</v>
      </c>
      <c r="J7" s="32">
        <v>0.19500000000000001</v>
      </c>
      <c r="K7" s="66">
        <f t="shared" si="0"/>
        <v>6388.2</v>
      </c>
    </row>
    <row r="8" spans="1:11" ht="25.5" x14ac:dyDescent="0.25">
      <c r="A8" s="7">
        <v>15</v>
      </c>
      <c r="B8" s="46" t="s">
        <v>68</v>
      </c>
      <c r="C8" s="28" t="s">
        <v>69</v>
      </c>
      <c r="D8" s="10" t="s">
        <v>13</v>
      </c>
      <c r="E8" s="10" t="s">
        <v>70</v>
      </c>
      <c r="F8" s="10" t="s">
        <v>22</v>
      </c>
      <c r="G8" s="50">
        <v>62000</v>
      </c>
      <c r="H8" s="89"/>
      <c r="I8" s="88" t="s">
        <v>23</v>
      </c>
      <c r="J8" s="32">
        <v>0.37459999999999999</v>
      </c>
      <c r="K8" s="31">
        <f t="shared" si="0"/>
        <v>23225.200000000001</v>
      </c>
    </row>
    <row r="9" spans="1:11" x14ac:dyDescent="0.25">
      <c r="A9" s="7">
        <v>16</v>
      </c>
      <c r="B9" s="46" t="s">
        <v>71</v>
      </c>
      <c r="C9" s="20" t="s">
        <v>72</v>
      </c>
      <c r="D9" s="10" t="s">
        <v>35</v>
      </c>
      <c r="E9" s="27" t="s">
        <v>73</v>
      </c>
      <c r="F9" s="10" t="s">
        <v>15</v>
      </c>
      <c r="G9" s="50">
        <v>34800</v>
      </c>
      <c r="H9" s="34" t="s">
        <v>16</v>
      </c>
      <c r="I9" s="15" t="s">
        <v>23</v>
      </c>
      <c r="J9" s="32">
        <v>0.1222</v>
      </c>
      <c r="K9" s="66">
        <f t="shared" si="0"/>
        <v>4252.5600000000004</v>
      </c>
    </row>
    <row r="10" spans="1:11" x14ac:dyDescent="0.25">
      <c r="A10" s="7">
        <v>17</v>
      </c>
      <c r="B10" s="46" t="s">
        <v>74</v>
      </c>
      <c r="C10" s="28" t="s">
        <v>75</v>
      </c>
      <c r="D10" s="10" t="s">
        <v>35</v>
      </c>
      <c r="E10" s="10" t="s">
        <v>76</v>
      </c>
      <c r="F10" s="33"/>
      <c r="G10" s="50">
        <v>29600</v>
      </c>
      <c r="H10" s="34" t="s">
        <v>16</v>
      </c>
      <c r="I10" s="15" t="s">
        <v>23</v>
      </c>
      <c r="J10" s="32">
        <v>0.35020000000000001</v>
      </c>
      <c r="K10" s="66">
        <f t="shared" si="0"/>
        <v>10365.92</v>
      </c>
    </row>
    <row r="11" spans="1:11" x14ac:dyDescent="0.25">
      <c r="A11" s="12">
        <v>18</v>
      </c>
      <c r="B11" s="20" t="s">
        <v>77</v>
      </c>
      <c r="C11" s="28" t="s">
        <v>78</v>
      </c>
      <c r="D11" s="15" t="s">
        <v>13</v>
      </c>
      <c r="E11" s="15" t="s">
        <v>79</v>
      </c>
      <c r="F11" s="15" t="s">
        <v>67</v>
      </c>
      <c r="G11" s="54">
        <v>21840</v>
      </c>
      <c r="H11" s="34" t="s">
        <v>16</v>
      </c>
      <c r="I11" s="15" t="s">
        <v>23</v>
      </c>
      <c r="J11" s="32">
        <v>0.74209999999999998</v>
      </c>
      <c r="K11" s="66">
        <f t="shared" si="0"/>
        <v>16207.464</v>
      </c>
    </row>
    <row r="12" spans="1:11" ht="25.5" x14ac:dyDescent="0.25">
      <c r="A12" s="12">
        <v>19</v>
      </c>
      <c r="B12" s="20" t="s">
        <v>80</v>
      </c>
      <c r="C12" s="28" t="s">
        <v>81</v>
      </c>
      <c r="D12" s="15" t="s">
        <v>13</v>
      </c>
      <c r="E12" s="15" t="s">
        <v>82</v>
      </c>
      <c r="F12" s="15" t="s">
        <v>15</v>
      </c>
      <c r="G12" s="54">
        <v>40000</v>
      </c>
      <c r="H12" s="34" t="s">
        <v>16</v>
      </c>
      <c r="I12" s="15" t="s">
        <v>23</v>
      </c>
      <c r="J12" s="32">
        <v>0.1444</v>
      </c>
      <c r="K12" s="66">
        <f t="shared" si="0"/>
        <v>5776</v>
      </c>
    </row>
    <row r="13" spans="1:11" ht="25.5" x14ac:dyDescent="0.25">
      <c r="A13" s="7">
        <v>20</v>
      </c>
      <c r="B13" s="33" t="s">
        <v>83</v>
      </c>
      <c r="C13" s="28" t="s">
        <v>84</v>
      </c>
      <c r="D13" s="10" t="s">
        <v>13</v>
      </c>
      <c r="E13" s="10" t="s">
        <v>76</v>
      </c>
      <c r="F13" s="10" t="s">
        <v>22</v>
      </c>
      <c r="G13" s="50">
        <v>1580000</v>
      </c>
      <c r="H13" s="34" t="s">
        <v>16</v>
      </c>
      <c r="I13" s="15" t="s">
        <v>23</v>
      </c>
      <c r="J13" s="32">
        <v>0.54300000000000004</v>
      </c>
      <c r="K13" s="66">
        <f t="shared" si="0"/>
        <v>857940.00000000012</v>
      </c>
    </row>
    <row r="14" spans="1:11" x14ac:dyDescent="0.25">
      <c r="A14" s="7">
        <v>21</v>
      </c>
      <c r="B14" s="46" t="s">
        <v>85</v>
      </c>
      <c r="C14" s="33" t="s">
        <v>86</v>
      </c>
      <c r="D14" s="10" t="s">
        <v>13</v>
      </c>
      <c r="E14" s="45" t="s">
        <v>87</v>
      </c>
      <c r="F14" s="10" t="s">
        <v>13</v>
      </c>
      <c r="G14" s="50">
        <v>695600</v>
      </c>
      <c r="H14" s="34"/>
      <c r="I14" s="34"/>
      <c r="J14" s="66">
        <v>0</v>
      </c>
      <c r="K14" s="66">
        <f t="shared" si="0"/>
        <v>0</v>
      </c>
    </row>
    <row r="15" spans="1:11" ht="25.5" x14ac:dyDescent="0.25">
      <c r="A15" s="7">
        <v>22</v>
      </c>
      <c r="B15" s="10" t="s">
        <v>88</v>
      </c>
      <c r="C15" s="28" t="s">
        <v>89</v>
      </c>
      <c r="D15" s="10" t="s">
        <v>35</v>
      </c>
      <c r="E15" s="10" t="s">
        <v>21</v>
      </c>
      <c r="F15" s="10" t="s">
        <v>22</v>
      </c>
      <c r="G15" s="50">
        <v>172400</v>
      </c>
      <c r="H15" s="34" t="s">
        <v>16</v>
      </c>
      <c r="I15" s="15" t="s">
        <v>23</v>
      </c>
      <c r="J15" s="32">
        <v>0.28499999999999998</v>
      </c>
      <c r="K15" s="66">
        <f t="shared" si="0"/>
        <v>49133.999999999993</v>
      </c>
    </row>
    <row r="16" spans="1:11" ht="25.5" x14ac:dyDescent="0.25">
      <c r="A16" s="7">
        <v>23</v>
      </c>
      <c r="B16" s="10" t="s">
        <v>90</v>
      </c>
      <c r="C16" s="28" t="s">
        <v>91</v>
      </c>
      <c r="D16" s="10" t="s">
        <v>13</v>
      </c>
      <c r="E16" s="10" t="s">
        <v>21</v>
      </c>
      <c r="F16" s="10" t="s">
        <v>22</v>
      </c>
      <c r="G16" s="50">
        <v>150240</v>
      </c>
      <c r="H16" s="34" t="s">
        <v>16</v>
      </c>
      <c r="I16" s="15" t="s">
        <v>23</v>
      </c>
      <c r="J16" s="32">
        <v>0.85</v>
      </c>
      <c r="K16" s="66">
        <f t="shared" si="0"/>
        <v>127704</v>
      </c>
    </row>
    <row r="17" spans="1:11" x14ac:dyDescent="0.25">
      <c r="A17" s="12">
        <v>24</v>
      </c>
      <c r="B17" s="15" t="s">
        <v>95</v>
      </c>
      <c r="C17" s="20" t="s">
        <v>96</v>
      </c>
      <c r="D17" s="15" t="s">
        <v>26</v>
      </c>
      <c r="E17" s="15" t="s">
        <v>21</v>
      </c>
      <c r="F17" s="15" t="s">
        <v>22</v>
      </c>
      <c r="G17" s="54">
        <v>1517600</v>
      </c>
      <c r="H17" s="34" t="s">
        <v>16</v>
      </c>
      <c r="I17" s="15" t="s">
        <v>23</v>
      </c>
      <c r="J17" s="65">
        <v>4.0000000000000001E-3</v>
      </c>
      <c r="K17" s="66">
        <f t="shared" si="0"/>
        <v>6070.4000000000005</v>
      </c>
    </row>
    <row r="18" spans="1:11" x14ac:dyDescent="0.25">
      <c r="A18" s="12">
        <v>25</v>
      </c>
      <c r="B18" s="15" t="s">
        <v>97</v>
      </c>
      <c r="C18" s="28" t="s">
        <v>98</v>
      </c>
      <c r="D18" s="15" t="s">
        <v>13</v>
      </c>
      <c r="E18" s="15" t="s">
        <v>99</v>
      </c>
      <c r="F18" s="15" t="s">
        <v>22</v>
      </c>
      <c r="G18" s="54">
        <v>2260000</v>
      </c>
      <c r="H18" s="34" t="s">
        <v>16</v>
      </c>
      <c r="I18" s="15" t="s">
        <v>23</v>
      </c>
      <c r="J18" s="32">
        <v>1.3299999999999999E-2</v>
      </c>
      <c r="K18" s="66">
        <f t="shared" si="0"/>
        <v>30058</v>
      </c>
    </row>
    <row r="19" spans="1:11" x14ac:dyDescent="0.25">
      <c r="A19" s="12">
        <v>26</v>
      </c>
      <c r="B19" s="15" t="s">
        <v>100</v>
      </c>
      <c r="C19" s="28" t="s">
        <v>101</v>
      </c>
      <c r="D19" s="15" t="s">
        <v>35</v>
      </c>
      <c r="E19" s="15" t="s">
        <v>27</v>
      </c>
      <c r="F19" s="15" t="s">
        <v>43</v>
      </c>
      <c r="G19" s="54">
        <v>23600</v>
      </c>
      <c r="H19" s="34" t="s">
        <v>16</v>
      </c>
      <c r="I19" s="15" t="s">
        <v>23</v>
      </c>
      <c r="J19" s="32">
        <v>0.152</v>
      </c>
      <c r="K19" s="66">
        <f t="shared" si="0"/>
        <v>3587.2</v>
      </c>
    </row>
    <row r="20" spans="1:11" x14ac:dyDescent="0.25">
      <c r="A20" s="12">
        <v>27</v>
      </c>
      <c r="B20" s="15" t="s">
        <v>102</v>
      </c>
      <c r="C20" s="20" t="s">
        <v>103</v>
      </c>
      <c r="D20" s="15" t="s">
        <v>35</v>
      </c>
      <c r="E20" s="15" t="s">
        <v>104</v>
      </c>
      <c r="F20" s="15" t="s">
        <v>22</v>
      </c>
      <c r="G20" s="54">
        <v>5920000</v>
      </c>
      <c r="H20" s="34" t="s">
        <v>16</v>
      </c>
      <c r="I20" s="15" t="s">
        <v>23</v>
      </c>
      <c r="J20" s="65">
        <v>0.14430000000000001</v>
      </c>
      <c r="K20" s="66">
        <f t="shared" si="0"/>
        <v>854256.00000000012</v>
      </c>
    </row>
    <row r="21" spans="1:11" x14ac:dyDescent="0.25">
      <c r="A21" s="12">
        <v>28</v>
      </c>
      <c r="B21" s="15" t="s">
        <v>105</v>
      </c>
      <c r="C21" s="20" t="s">
        <v>106</v>
      </c>
      <c r="D21" s="15" t="s">
        <v>35</v>
      </c>
      <c r="E21" s="15" t="s">
        <v>27</v>
      </c>
      <c r="F21" s="15" t="s">
        <v>43</v>
      </c>
      <c r="G21" s="54">
        <v>77200</v>
      </c>
      <c r="H21" s="34" t="s">
        <v>16</v>
      </c>
      <c r="I21" s="15" t="s">
        <v>23</v>
      </c>
      <c r="J21" s="32">
        <v>5.6800000000000003E-2</v>
      </c>
      <c r="K21" s="66">
        <f t="shared" si="0"/>
        <v>4384.96</v>
      </c>
    </row>
    <row r="22" spans="1:11" x14ac:dyDescent="0.25">
      <c r="A22" s="12">
        <v>29</v>
      </c>
      <c r="B22" s="15" t="s">
        <v>107</v>
      </c>
      <c r="C22" s="28" t="s">
        <v>108</v>
      </c>
      <c r="D22" s="15" t="s">
        <v>35</v>
      </c>
      <c r="E22" s="15" t="s">
        <v>104</v>
      </c>
      <c r="F22" s="15" t="s">
        <v>22</v>
      </c>
      <c r="G22" s="54">
        <v>1276000</v>
      </c>
      <c r="H22" s="34" t="s">
        <v>16</v>
      </c>
      <c r="I22" s="34" t="s">
        <v>36</v>
      </c>
      <c r="J22" s="32">
        <v>2.35E-2</v>
      </c>
      <c r="K22" s="66">
        <f t="shared" si="0"/>
        <v>29986</v>
      </c>
    </row>
    <row r="23" spans="1:11" x14ac:dyDescent="0.25">
      <c r="A23" s="12">
        <v>30</v>
      </c>
      <c r="B23" s="15" t="s">
        <v>109</v>
      </c>
      <c r="C23" s="28" t="s">
        <v>110</v>
      </c>
      <c r="D23" s="15" t="s">
        <v>13</v>
      </c>
      <c r="E23" s="15" t="s">
        <v>76</v>
      </c>
      <c r="F23" s="15" t="s">
        <v>22</v>
      </c>
      <c r="G23" s="54">
        <v>47200</v>
      </c>
      <c r="H23" s="34" t="s">
        <v>16</v>
      </c>
      <c r="I23" s="34" t="s">
        <v>36</v>
      </c>
      <c r="J23" s="32">
        <v>0.58709999999999996</v>
      </c>
      <c r="K23" s="66">
        <f t="shared" si="0"/>
        <v>27711.119999999999</v>
      </c>
    </row>
    <row r="24" spans="1:11" x14ac:dyDescent="0.25">
      <c r="A24" s="7">
        <v>31</v>
      </c>
      <c r="B24" s="10" t="s">
        <v>111</v>
      </c>
      <c r="C24" s="33" t="s">
        <v>112</v>
      </c>
      <c r="D24" s="10" t="s">
        <v>13</v>
      </c>
      <c r="E24" s="10" t="s">
        <v>21</v>
      </c>
      <c r="F24" s="10" t="s">
        <v>22</v>
      </c>
      <c r="G24" s="50">
        <v>3293600</v>
      </c>
      <c r="H24" s="34" t="s">
        <v>16</v>
      </c>
      <c r="I24" s="15" t="s">
        <v>23</v>
      </c>
      <c r="J24" s="32">
        <v>2.4199999999999999E-2</v>
      </c>
      <c r="K24" s="66">
        <f t="shared" si="0"/>
        <v>79705.119999999995</v>
      </c>
    </row>
    <row r="25" spans="1:11" x14ac:dyDescent="0.25">
      <c r="A25" s="7">
        <v>32</v>
      </c>
      <c r="B25" s="10" t="s">
        <v>113</v>
      </c>
      <c r="C25" s="28" t="s">
        <v>114</v>
      </c>
      <c r="D25" s="10" t="s">
        <v>26</v>
      </c>
      <c r="E25" s="10" t="s">
        <v>115</v>
      </c>
      <c r="F25" s="45" t="s">
        <v>116</v>
      </c>
      <c r="G25" s="50">
        <v>72400</v>
      </c>
      <c r="H25" s="34" t="s">
        <v>16</v>
      </c>
      <c r="I25" s="15" t="s">
        <v>23</v>
      </c>
      <c r="J25" s="32">
        <v>0.58450000000000002</v>
      </c>
      <c r="K25" s="66">
        <f t="shared" si="0"/>
        <v>42317.8</v>
      </c>
    </row>
    <row r="26" spans="1:11" x14ac:dyDescent="0.25">
      <c r="A26" s="12">
        <v>33</v>
      </c>
      <c r="B26" s="15" t="s">
        <v>117</v>
      </c>
      <c r="C26" s="20" t="s">
        <v>118</v>
      </c>
      <c r="D26" s="15" t="s">
        <v>13</v>
      </c>
      <c r="E26" s="15" t="s">
        <v>21</v>
      </c>
      <c r="F26" s="15" t="s">
        <v>22</v>
      </c>
      <c r="G26" s="54">
        <v>318800</v>
      </c>
      <c r="H26" s="34" t="s">
        <v>16</v>
      </c>
      <c r="I26" s="34" t="s">
        <v>36</v>
      </c>
      <c r="J26" s="32">
        <v>2.1399999999999999E-2</v>
      </c>
      <c r="K26" s="66">
        <f t="shared" si="0"/>
        <v>6822.32</v>
      </c>
    </row>
    <row r="27" spans="1:11" x14ac:dyDescent="0.25">
      <c r="A27" s="12">
        <v>34</v>
      </c>
      <c r="B27" s="15" t="s">
        <v>119</v>
      </c>
      <c r="C27" s="28" t="s">
        <v>120</v>
      </c>
      <c r="D27" s="15" t="s">
        <v>13</v>
      </c>
      <c r="E27" s="15" t="s">
        <v>21</v>
      </c>
      <c r="F27" s="15" t="s">
        <v>22</v>
      </c>
      <c r="G27" s="54">
        <v>32200</v>
      </c>
      <c r="H27" s="34" t="s">
        <v>16</v>
      </c>
      <c r="I27" s="34" t="s">
        <v>23</v>
      </c>
      <c r="J27" s="32">
        <v>7.5200000000000003E-2</v>
      </c>
      <c r="K27" s="66">
        <f t="shared" si="0"/>
        <v>2421.44</v>
      </c>
    </row>
    <row r="28" spans="1:11" x14ac:dyDescent="0.25">
      <c r="A28" s="12">
        <v>35</v>
      </c>
      <c r="B28" s="15" t="s">
        <v>121</v>
      </c>
      <c r="C28" s="28" t="s">
        <v>122</v>
      </c>
      <c r="D28" s="15" t="s">
        <v>13</v>
      </c>
      <c r="E28" s="15" t="s">
        <v>123</v>
      </c>
      <c r="F28" s="15" t="s">
        <v>22</v>
      </c>
      <c r="G28" s="54">
        <v>88000</v>
      </c>
      <c r="H28" s="34" t="s">
        <v>16</v>
      </c>
      <c r="I28" s="15" t="s">
        <v>23</v>
      </c>
      <c r="J28" s="32">
        <v>6.5000000000000002E-2</v>
      </c>
      <c r="K28" s="66">
        <f t="shared" si="0"/>
        <v>5720</v>
      </c>
    </row>
    <row r="29" spans="1:11" x14ac:dyDescent="0.25">
      <c r="A29" s="7">
        <v>36</v>
      </c>
      <c r="B29" s="10" t="s">
        <v>124</v>
      </c>
      <c r="C29" s="29" t="s">
        <v>125</v>
      </c>
      <c r="D29" s="10" t="s">
        <v>13</v>
      </c>
      <c r="E29" s="10" t="s">
        <v>126</v>
      </c>
      <c r="F29" s="45" t="s">
        <v>127</v>
      </c>
      <c r="G29" s="50">
        <v>60800</v>
      </c>
      <c r="H29" s="34" t="s">
        <v>16</v>
      </c>
      <c r="I29" s="34" t="s">
        <v>17</v>
      </c>
      <c r="J29" s="32">
        <v>0.8982</v>
      </c>
      <c r="K29" s="66">
        <f t="shared" si="0"/>
        <v>54610.559999999998</v>
      </c>
    </row>
    <row r="30" spans="1:11" x14ac:dyDescent="0.25">
      <c r="A30" s="12">
        <v>37</v>
      </c>
      <c r="B30" s="15" t="s">
        <v>128</v>
      </c>
      <c r="C30" s="28" t="s">
        <v>129</v>
      </c>
      <c r="D30" s="15" t="s">
        <v>35</v>
      </c>
      <c r="E30" s="15" t="s">
        <v>130</v>
      </c>
      <c r="F30" s="17" t="s">
        <v>131</v>
      </c>
      <c r="G30" s="54">
        <v>58800</v>
      </c>
      <c r="H30" s="34" t="s">
        <v>16</v>
      </c>
      <c r="I30" s="15" t="s">
        <v>23</v>
      </c>
      <c r="J30" s="32">
        <v>5.1499999999999997E-2</v>
      </c>
      <c r="K30" s="66">
        <f t="shared" si="0"/>
        <v>3028.2</v>
      </c>
    </row>
    <row r="31" spans="1:11" x14ac:dyDescent="0.25">
      <c r="A31" s="7">
        <v>38</v>
      </c>
      <c r="B31" s="10" t="s">
        <v>132</v>
      </c>
      <c r="C31" s="20" t="s">
        <v>133</v>
      </c>
      <c r="D31" s="10" t="s">
        <v>35</v>
      </c>
      <c r="E31" s="10" t="s">
        <v>123</v>
      </c>
      <c r="F31" s="10" t="s">
        <v>22</v>
      </c>
      <c r="G31" s="50">
        <v>420000</v>
      </c>
      <c r="H31" s="34" t="s">
        <v>16</v>
      </c>
      <c r="I31" s="15" t="s">
        <v>23</v>
      </c>
      <c r="J31" s="65">
        <v>1.6E-2</v>
      </c>
      <c r="K31" s="66">
        <f t="shared" si="0"/>
        <v>6720</v>
      </c>
    </row>
    <row r="32" spans="1:11" ht="25.5" x14ac:dyDescent="0.25">
      <c r="A32" s="12">
        <v>39</v>
      </c>
      <c r="B32" s="15" t="s">
        <v>134</v>
      </c>
      <c r="C32" s="28" t="s">
        <v>135</v>
      </c>
      <c r="D32" s="15" t="s">
        <v>13</v>
      </c>
      <c r="E32" s="15" t="s">
        <v>27</v>
      </c>
      <c r="F32" s="15" t="s">
        <v>136</v>
      </c>
      <c r="G32" s="54">
        <v>97200</v>
      </c>
      <c r="H32" s="34" t="s">
        <v>16</v>
      </c>
      <c r="I32" s="34" t="s">
        <v>36</v>
      </c>
      <c r="J32" s="32">
        <v>0.1406</v>
      </c>
      <c r="K32" s="66">
        <f t="shared" si="0"/>
        <v>13666.32</v>
      </c>
    </row>
    <row r="33" spans="1:11" x14ac:dyDescent="0.25">
      <c r="A33" s="7">
        <v>40</v>
      </c>
      <c r="B33" s="10" t="s">
        <v>137</v>
      </c>
      <c r="C33" s="20" t="s">
        <v>138</v>
      </c>
      <c r="D33" s="10" t="s">
        <v>13</v>
      </c>
      <c r="E33" s="10" t="s">
        <v>73</v>
      </c>
      <c r="F33" s="45" t="s">
        <v>139</v>
      </c>
      <c r="G33" s="50">
        <v>132400</v>
      </c>
      <c r="H33" s="34" t="s">
        <v>16</v>
      </c>
      <c r="I33" s="34" t="s">
        <v>36</v>
      </c>
      <c r="J33" s="32">
        <v>0.15659999999999999</v>
      </c>
      <c r="K33" s="66">
        <f t="shared" si="0"/>
        <v>20733.84</v>
      </c>
    </row>
    <row r="34" spans="1:11" ht="25.5" x14ac:dyDescent="0.25">
      <c r="A34" s="7">
        <v>41</v>
      </c>
      <c r="B34" s="10" t="s">
        <v>140</v>
      </c>
      <c r="C34" s="28" t="s">
        <v>141</v>
      </c>
      <c r="D34" s="10" t="s">
        <v>142</v>
      </c>
      <c r="E34" s="10" t="s">
        <v>27</v>
      </c>
      <c r="F34" s="10" t="s">
        <v>43</v>
      </c>
      <c r="G34" s="50">
        <v>303600</v>
      </c>
      <c r="H34" s="34" t="s">
        <v>16</v>
      </c>
      <c r="I34" s="34" t="s">
        <v>36</v>
      </c>
      <c r="J34" s="32">
        <v>0.64559999999999995</v>
      </c>
      <c r="K34" s="66">
        <f t="shared" si="0"/>
        <v>196004.15999999997</v>
      </c>
    </row>
    <row r="35" spans="1:11" x14ac:dyDescent="0.25">
      <c r="A35" s="7">
        <v>42</v>
      </c>
      <c r="B35" s="46" t="s">
        <v>143</v>
      </c>
      <c r="C35" s="20" t="s">
        <v>144</v>
      </c>
      <c r="D35" s="10" t="s">
        <v>142</v>
      </c>
      <c r="E35" s="10" t="s">
        <v>123</v>
      </c>
      <c r="F35" s="10" t="s">
        <v>22</v>
      </c>
      <c r="G35" s="50">
        <v>334400</v>
      </c>
      <c r="H35" s="34" t="s">
        <v>16</v>
      </c>
      <c r="I35" s="34" t="s">
        <v>23</v>
      </c>
      <c r="J35" s="32">
        <v>8.5000000000000006E-3</v>
      </c>
      <c r="K35" s="66">
        <f t="shared" ref="K35:K66" si="1">+G35*J35</f>
        <v>2842.4</v>
      </c>
    </row>
    <row r="36" spans="1:11" x14ac:dyDescent="0.25">
      <c r="A36" s="7">
        <v>43</v>
      </c>
      <c r="B36" s="33" t="s">
        <v>145</v>
      </c>
      <c r="C36" s="33" t="s">
        <v>146</v>
      </c>
      <c r="D36" s="10" t="s">
        <v>13</v>
      </c>
      <c r="E36" s="10" t="s">
        <v>147</v>
      </c>
      <c r="F36" s="10" t="s">
        <v>22</v>
      </c>
      <c r="G36" s="50">
        <v>1232000</v>
      </c>
      <c r="H36" s="34" t="s">
        <v>16</v>
      </c>
      <c r="I36" s="34" t="s">
        <v>36</v>
      </c>
      <c r="J36" s="65">
        <v>5.6000000000000001E-2</v>
      </c>
      <c r="K36" s="66">
        <f t="shared" si="1"/>
        <v>68992</v>
      </c>
    </row>
    <row r="37" spans="1:11" ht="25.5" x14ac:dyDescent="0.25">
      <c r="A37" s="7">
        <v>44</v>
      </c>
      <c r="B37" s="33" t="s">
        <v>149</v>
      </c>
      <c r="C37" s="28" t="s">
        <v>150</v>
      </c>
      <c r="D37" s="10" t="s">
        <v>26</v>
      </c>
      <c r="E37" s="10" t="s">
        <v>76</v>
      </c>
      <c r="F37" s="10" t="s">
        <v>22</v>
      </c>
      <c r="G37" s="50">
        <v>16160</v>
      </c>
      <c r="H37" s="34" t="s">
        <v>16</v>
      </c>
      <c r="I37" s="15" t="s">
        <v>23</v>
      </c>
      <c r="J37" s="32">
        <v>0.45119999999999999</v>
      </c>
      <c r="K37" s="66">
        <f t="shared" si="1"/>
        <v>7291.3919999999998</v>
      </c>
    </row>
    <row r="38" spans="1:11" ht="25.5" x14ac:dyDescent="0.25">
      <c r="A38" s="7">
        <v>45</v>
      </c>
      <c r="B38" s="46" t="s">
        <v>153</v>
      </c>
      <c r="C38" s="28" t="s">
        <v>154</v>
      </c>
      <c r="D38" s="10" t="s">
        <v>13</v>
      </c>
      <c r="E38" s="10" t="s">
        <v>147</v>
      </c>
      <c r="F38" s="10" t="s">
        <v>22</v>
      </c>
      <c r="G38" s="50">
        <v>10920</v>
      </c>
      <c r="H38" s="34" t="s">
        <v>16</v>
      </c>
      <c r="I38" s="34" t="s">
        <v>23</v>
      </c>
      <c r="J38" s="32">
        <v>0.50019999999999998</v>
      </c>
      <c r="K38" s="66">
        <f t="shared" si="1"/>
        <v>5462.1840000000002</v>
      </c>
    </row>
    <row r="39" spans="1:11" ht="25.5" x14ac:dyDescent="0.25">
      <c r="A39" s="12">
        <v>46</v>
      </c>
      <c r="B39" s="20" t="s">
        <v>155</v>
      </c>
      <c r="C39" s="28" t="s">
        <v>156</v>
      </c>
      <c r="D39" s="15" t="s">
        <v>26</v>
      </c>
      <c r="E39" s="15" t="s">
        <v>157</v>
      </c>
      <c r="F39" s="15" t="s">
        <v>43</v>
      </c>
      <c r="G39" s="54">
        <v>34000</v>
      </c>
      <c r="H39" s="34" t="s">
        <v>16</v>
      </c>
      <c r="I39" s="15" t="s">
        <v>23</v>
      </c>
      <c r="J39" s="32">
        <v>0.64449999999999996</v>
      </c>
      <c r="K39" s="66">
        <f t="shared" si="1"/>
        <v>21913</v>
      </c>
    </row>
    <row r="40" spans="1:11" x14ac:dyDescent="0.25">
      <c r="A40" s="12">
        <v>47</v>
      </c>
      <c r="B40" s="20" t="s">
        <v>158</v>
      </c>
      <c r="C40" s="20" t="s">
        <v>159</v>
      </c>
      <c r="D40" s="15" t="s">
        <v>13</v>
      </c>
      <c r="E40" s="15" t="s">
        <v>160</v>
      </c>
      <c r="F40" s="15" t="s">
        <v>22</v>
      </c>
      <c r="G40" s="54">
        <v>69400</v>
      </c>
      <c r="H40" s="34" t="s">
        <v>16</v>
      </c>
      <c r="I40" s="15" t="s">
        <v>23</v>
      </c>
      <c r="J40" s="32">
        <v>0.15840000000000001</v>
      </c>
      <c r="K40" s="32">
        <f t="shared" si="1"/>
        <v>10992.960000000001</v>
      </c>
    </row>
    <row r="41" spans="1:11" ht="25.5" x14ac:dyDescent="0.25">
      <c r="A41" s="12">
        <v>48</v>
      </c>
      <c r="B41" s="20" t="s">
        <v>161</v>
      </c>
      <c r="C41" s="28" t="s">
        <v>333</v>
      </c>
      <c r="D41" s="15" t="s">
        <v>26</v>
      </c>
      <c r="E41" s="15" t="s">
        <v>162</v>
      </c>
      <c r="F41" s="15" t="s">
        <v>43</v>
      </c>
      <c r="G41" s="54">
        <v>164000</v>
      </c>
      <c r="H41" s="34" t="s">
        <v>16</v>
      </c>
      <c r="I41" s="34" t="s">
        <v>23</v>
      </c>
      <c r="J41" s="32">
        <v>0.75</v>
      </c>
      <c r="K41" s="66">
        <f t="shared" si="1"/>
        <v>123000</v>
      </c>
    </row>
    <row r="42" spans="1:11" x14ac:dyDescent="0.25">
      <c r="A42" s="12">
        <v>49</v>
      </c>
      <c r="B42" s="28" t="s">
        <v>163</v>
      </c>
      <c r="C42" s="28" t="s">
        <v>164</v>
      </c>
      <c r="D42" s="15" t="s">
        <v>35</v>
      </c>
      <c r="E42" s="15" t="s">
        <v>14</v>
      </c>
      <c r="F42" s="15" t="s">
        <v>63</v>
      </c>
      <c r="G42" s="54">
        <v>156000</v>
      </c>
      <c r="H42" s="34"/>
      <c r="I42" s="34"/>
      <c r="J42" s="66">
        <v>0</v>
      </c>
      <c r="K42" s="66">
        <f t="shared" si="1"/>
        <v>0</v>
      </c>
    </row>
    <row r="43" spans="1:11" x14ac:dyDescent="0.25">
      <c r="A43" s="12">
        <v>50</v>
      </c>
      <c r="B43" s="20" t="s">
        <v>165</v>
      </c>
      <c r="C43" s="28" t="s">
        <v>166</v>
      </c>
      <c r="D43" s="15" t="s">
        <v>26</v>
      </c>
      <c r="E43" s="15" t="s">
        <v>76</v>
      </c>
      <c r="F43" s="15" t="s">
        <v>63</v>
      </c>
      <c r="G43" s="54">
        <v>14520</v>
      </c>
      <c r="H43" s="34" t="s">
        <v>16</v>
      </c>
      <c r="I43" s="34" t="s">
        <v>23</v>
      </c>
      <c r="J43" s="32">
        <v>5.4322999999999997</v>
      </c>
      <c r="K43" s="66">
        <f t="shared" si="1"/>
        <v>78876.995999999999</v>
      </c>
    </row>
    <row r="44" spans="1:11" ht="38.25" x14ac:dyDescent="0.25">
      <c r="A44" s="12">
        <v>51</v>
      </c>
      <c r="B44" s="20" t="s">
        <v>167</v>
      </c>
      <c r="C44" s="28" t="s">
        <v>334</v>
      </c>
      <c r="D44" s="15" t="s">
        <v>35</v>
      </c>
      <c r="E44" s="15" t="s">
        <v>168</v>
      </c>
      <c r="F44" s="15" t="s">
        <v>22</v>
      </c>
      <c r="G44" s="54">
        <v>696000</v>
      </c>
      <c r="H44" s="34" t="s">
        <v>16</v>
      </c>
      <c r="I44" s="34" t="s">
        <v>36</v>
      </c>
      <c r="J44" s="32">
        <v>0.35</v>
      </c>
      <c r="K44" s="66">
        <f t="shared" si="1"/>
        <v>243599.99999999997</v>
      </c>
    </row>
    <row r="45" spans="1:11" ht="25.5" x14ac:dyDescent="0.25">
      <c r="A45" s="12">
        <v>52</v>
      </c>
      <c r="B45" s="20" t="s">
        <v>169</v>
      </c>
      <c r="C45" s="28" t="s">
        <v>170</v>
      </c>
      <c r="D45" s="15" t="s">
        <v>35</v>
      </c>
      <c r="E45" s="15" t="s">
        <v>27</v>
      </c>
      <c r="F45" s="15" t="s">
        <v>43</v>
      </c>
      <c r="G45" s="54">
        <v>60400</v>
      </c>
      <c r="H45" s="34" t="s">
        <v>16</v>
      </c>
      <c r="I45" s="34" t="s">
        <v>23</v>
      </c>
      <c r="J45" s="32">
        <v>0.1065</v>
      </c>
      <c r="K45" s="66">
        <f t="shared" si="1"/>
        <v>6432.5999999999995</v>
      </c>
    </row>
    <row r="46" spans="1:11" ht="25.5" x14ac:dyDescent="0.25">
      <c r="A46" s="12">
        <v>53</v>
      </c>
      <c r="B46" s="20" t="s">
        <v>171</v>
      </c>
      <c r="C46" s="28" t="s">
        <v>172</v>
      </c>
      <c r="D46" s="15" t="s">
        <v>13</v>
      </c>
      <c r="E46" s="15" t="s">
        <v>160</v>
      </c>
      <c r="F46" s="15" t="s">
        <v>22</v>
      </c>
      <c r="G46" s="54">
        <v>37000</v>
      </c>
      <c r="H46" s="34" t="s">
        <v>16</v>
      </c>
      <c r="I46" s="34" t="s">
        <v>23</v>
      </c>
      <c r="J46" s="32">
        <v>0.1958</v>
      </c>
      <c r="K46" s="66">
        <f t="shared" si="1"/>
        <v>7244.6</v>
      </c>
    </row>
    <row r="47" spans="1:11" x14ac:dyDescent="0.25">
      <c r="A47" s="7">
        <v>54</v>
      </c>
      <c r="B47" s="46" t="s">
        <v>173</v>
      </c>
      <c r="C47" s="33" t="s">
        <v>174</v>
      </c>
      <c r="D47" s="10" t="s">
        <v>35</v>
      </c>
      <c r="E47" s="10" t="s">
        <v>104</v>
      </c>
      <c r="F47" s="10" t="s">
        <v>22</v>
      </c>
      <c r="G47" s="50">
        <v>16800000</v>
      </c>
      <c r="H47" s="34" t="s">
        <v>16</v>
      </c>
      <c r="I47" s="34" t="s">
        <v>36</v>
      </c>
      <c r="J47" s="32">
        <v>4.3E-3</v>
      </c>
      <c r="K47" s="66">
        <f t="shared" si="1"/>
        <v>72240</v>
      </c>
    </row>
    <row r="48" spans="1:11" x14ac:dyDescent="0.25">
      <c r="A48" s="12">
        <v>55</v>
      </c>
      <c r="B48" s="20" t="s">
        <v>175</v>
      </c>
      <c r="C48" s="28" t="s">
        <v>176</v>
      </c>
      <c r="D48" s="15" t="s">
        <v>13</v>
      </c>
      <c r="E48" s="15" t="s">
        <v>21</v>
      </c>
      <c r="F48" s="15" t="s">
        <v>22</v>
      </c>
      <c r="G48" s="54">
        <v>15320</v>
      </c>
      <c r="H48" s="34" t="s">
        <v>16</v>
      </c>
      <c r="I48" s="34" t="s">
        <v>23</v>
      </c>
      <c r="J48" s="32">
        <v>2.0034999999999998</v>
      </c>
      <c r="K48" s="66">
        <f t="shared" si="1"/>
        <v>30693.62</v>
      </c>
    </row>
    <row r="49" spans="1:11" x14ac:dyDescent="0.25">
      <c r="A49" s="12">
        <v>56</v>
      </c>
      <c r="B49" s="28" t="s">
        <v>177</v>
      </c>
      <c r="C49" s="28" t="s">
        <v>178</v>
      </c>
      <c r="D49" s="15" t="s">
        <v>13</v>
      </c>
      <c r="E49" s="15" t="s">
        <v>21</v>
      </c>
      <c r="F49" s="15" t="s">
        <v>22</v>
      </c>
      <c r="G49" s="54">
        <v>16320</v>
      </c>
      <c r="H49" s="34" t="s">
        <v>16</v>
      </c>
      <c r="I49" s="34" t="s">
        <v>23</v>
      </c>
      <c r="J49" s="32">
        <v>8.5699999999999998E-2</v>
      </c>
      <c r="K49" s="66">
        <f t="shared" si="1"/>
        <v>1398.624</v>
      </c>
    </row>
    <row r="50" spans="1:11" x14ac:dyDescent="0.25">
      <c r="A50" s="12">
        <v>57</v>
      </c>
      <c r="B50" s="20" t="s">
        <v>179</v>
      </c>
      <c r="C50" s="28" t="s">
        <v>180</v>
      </c>
      <c r="D50" s="15" t="s">
        <v>13</v>
      </c>
      <c r="E50" s="15" t="s">
        <v>14</v>
      </c>
      <c r="F50" s="15" t="s">
        <v>181</v>
      </c>
      <c r="G50" s="54">
        <v>41000</v>
      </c>
      <c r="H50" s="34" t="s">
        <v>16</v>
      </c>
      <c r="I50" s="34" t="s">
        <v>17</v>
      </c>
      <c r="J50" s="32">
        <v>0.2021</v>
      </c>
      <c r="K50" s="66">
        <f t="shared" si="1"/>
        <v>8286.1</v>
      </c>
    </row>
    <row r="51" spans="1:11" ht="25.5" x14ac:dyDescent="0.25">
      <c r="A51" s="7">
        <v>58</v>
      </c>
      <c r="B51" s="46" t="s">
        <v>182</v>
      </c>
      <c r="C51" s="28" t="s">
        <v>183</v>
      </c>
      <c r="D51" s="10" t="s">
        <v>13</v>
      </c>
      <c r="E51" s="10" t="s">
        <v>82</v>
      </c>
      <c r="F51" s="28" t="s">
        <v>335</v>
      </c>
      <c r="G51" s="50">
        <v>25200</v>
      </c>
      <c r="H51" s="34" t="s">
        <v>16</v>
      </c>
      <c r="I51" s="15" t="s">
        <v>23</v>
      </c>
      <c r="J51" s="32">
        <v>0.185</v>
      </c>
      <c r="K51" s="66">
        <f t="shared" si="1"/>
        <v>4662</v>
      </c>
    </row>
    <row r="52" spans="1:11" ht="25.5" x14ac:dyDescent="0.25">
      <c r="A52" s="7">
        <v>59</v>
      </c>
      <c r="B52" s="33" t="s">
        <v>184</v>
      </c>
      <c r="C52" s="28" t="s">
        <v>185</v>
      </c>
      <c r="D52" s="10" t="s">
        <v>35</v>
      </c>
      <c r="E52" s="27" t="s">
        <v>14</v>
      </c>
      <c r="F52" s="10" t="s">
        <v>136</v>
      </c>
      <c r="G52" s="50">
        <v>227600</v>
      </c>
      <c r="H52" s="34" t="s">
        <v>16</v>
      </c>
      <c r="I52" s="34" t="s">
        <v>36</v>
      </c>
      <c r="J52" s="32">
        <v>8.5000000000000006E-2</v>
      </c>
      <c r="K52" s="66">
        <f t="shared" si="1"/>
        <v>19346</v>
      </c>
    </row>
    <row r="53" spans="1:11" ht="25.5" x14ac:dyDescent="0.25">
      <c r="A53" s="7">
        <v>60</v>
      </c>
      <c r="B53" s="46" t="s">
        <v>186</v>
      </c>
      <c r="C53" s="28" t="s">
        <v>187</v>
      </c>
      <c r="D53" s="10" t="s">
        <v>13</v>
      </c>
      <c r="E53" s="10" t="s">
        <v>76</v>
      </c>
      <c r="F53" s="10" t="s">
        <v>22</v>
      </c>
      <c r="G53" s="50">
        <v>244640</v>
      </c>
      <c r="H53" s="34" t="s">
        <v>16</v>
      </c>
      <c r="I53" s="15" t="s">
        <v>23</v>
      </c>
      <c r="J53" s="32">
        <v>0.42249999999999999</v>
      </c>
      <c r="K53" s="66">
        <f t="shared" si="1"/>
        <v>103360.4</v>
      </c>
    </row>
    <row r="54" spans="1:11" x14ac:dyDescent="0.25">
      <c r="A54" s="7">
        <v>61</v>
      </c>
      <c r="B54" s="46" t="s">
        <v>188</v>
      </c>
      <c r="C54" s="28" t="s">
        <v>189</v>
      </c>
      <c r="D54" s="10" t="s">
        <v>26</v>
      </c>
      <c r="E54" s="27" t="s">
        <v>73</v>
      </c>
      <c r="F54" s="10" t="s">
        <v>139</v>
      </c>
      <c r="G54" s="50">
        <v>187200</v>
      </c>
      <c r="H54" s="34" t="s">
        <v>16</v>
      </c>
      <c r="I54" s="34" t="s">
        <v>17</v>
      </c>
      <c r="J54" s="32">
        <v>0.17849999999999999</v>
      </c>
      <c r="K54" s="66">
        <f t="shared" si="1"/>
        <v>33415.199999999997</v>
      </c>
    </row>
    <row r="55" spans="1:11" x14ac:dyDescent="0.25">
      <c r="A55" s="7">
        <v>62</v>
      </c>
      <c r="B55" s="46" t="s">
        <v>190</v>
      </c>
      <c r="C55" s="33" t="s">
        <v>191</v>
      </c>
      <c r="D55" s="10" t="s">
        <v>13</v>
      </c>
      <c r="E55" s="27" t="s">
        <v>21</v>
      </c>
      <c r="F55" s="10" t="s">
        <v>22</v>
      </c>
      <c r="G55" s="50">
        <v>246400</v>
      </c>
      <c r="H55" s="34" t="s">
        <v>16</v>
      </c>
      <c r="I55" s="34" t="s">
        <v>23</v>
      </c>
      <c r="J55" s="32">
        <v>6.9900000000000004E-2</v>
      </c>
      <c r="K55" s="66">
        <f t="shared" si="1"/>
        <v>17223.36</v>
      </c>
    </row>
    <row r="56" spans="1:11" ht="25.5" x14ac:dyDescent="0.25">
      <c r="A56" s="7">
        <v>63</v>
      </c>
      <c r="B56" s="46" t="s">
        <v>192</v>
      </c>
      <c r="C56" s="28" t="s">
        <v>193</v>
      </c>
      <c r="D56" s="10" t="s">
        <v>35</v>
      </c>
      <c r="E56" s="27" t="s">
        <v>194</v>
      </c>
      <c r="F56" s="20" t="s">
        <v>195</v>
      </c>
      <c r="G56" s="50">
        <v>326000</v>
      </c>
      <c r="H56" s="34" t="s">
        <v>16</v>
      </c>
      <c r="I56" s="15" t="s">
        <v>23</v>
      </c>
      <c r="J56" s="32">
        <v>0.46229999999999999</v>
      </c>
      <c r="K56" s="66">
        <f t="shared" si="1"/>
        <v>150709.79999999999</v>
      </c>
    </row>
    <row r="57" spans="1:11" x14ac:dyDescent="0.25">
      <c r="A57" s="7">
        <v>64</v>
      </c>
      <c r="B57" s="46" t="s">
        <v>196</v>
      </c>
      <c r="C57" s="28" t="s">
        <v>197</v>
      </c>
      <c r="D57" s="10" t="s">
        <v>26</v>
      </c>
      <c r="E57" s="27" t="s">
        <v>194</v>
      </c>
      <c r="F57" s="10" t="s">
        <v>198</v>
      </c>
      <c r="G57" s="50">
        <v>96000</v>
      </c>
      <c r="H57" s="34" t="s">
        <v>16</v>
      </c>
      <c r="I57" s="34" t="s">
        <v>36</v>
      </c>
      <c r="J57" s="32">
        <v>0.48299999999999998</v>
      </c>
      <c r="K57" s="66">
        <f t="shared" si="1"/>
        <v>46368</v>
      </c>
    </row>
    <row r="58" spans="1:11" ht="25.5" x14ac:dyDescent="0.25">
      <c r="A58" s="7">
        <v>65</v>
      </c>
      <c r="B58" s="46" t="s">
        <v>199</v>
      </c>
      <c r="C58" s="28" t="s">
        <v>200</v>
      </c>
      <c r="D58" s="10" t="s">
        <v>201</v>
      </c>
      <c r="E58" s="10" t="s">
        <v>202</v>
      </c>
      <c r="F58" s="20" t="s">
        <v>203</v>
      </c>
      <c r="G58" s="50">
        <v>33600</v>
      </c>
      <c r="H58" s="34" t="s">
        <v>16</v>
      </c>
      <c r="I58" s="34" t="s">
        <v>23</v>
      </c>
      <c r="J58" s="32">
        <v>0.98040000000000005</v>
      </c>
      <c r="K58" s="66">
        <f t="shared" si="1"/>
        <v>32941.440000000002</v>
      </c>
    </row>
    <row r="59" spans="1:11" ht="25.5" x14ac:dyDescent="0.25">
      <c r="A59" s="7">
        <v>66</v>
      </c>
      <c r="B59" s="46" t="s">
        <v>204</v>
      </c>
      <c r="C59" s="28" t="s">
        <v>205</v>
      </c>
      <c r="D59" s="10" t="s">
        <v>201</v>
      </c>
      <c r="E59" s="27" t="s">
        <v>194</v>
      </c>
      <c r="F59" s="20" t="s">
        <v>203</v>
      </c>
      <c r="G59" s="50">
        <v>420800</v>
      </c>
      <c r="H59" s="34" t="s">
        <v>16</v>
      </c>
      <c r="I59" s="34" t="s">
        <v>23</v>
      </c>
      <c r="J59" s="32">
        <v>0.33979999999999999</v>
      </c>
      <c r="K59" s="66">
        <f t="shared" si="1"/>
        <v>142987.84</v>
      </c>
    </row>
    <row r="60" spans="1:11" ht="25.5" x14ac:dyDescent="0.25">
      <c r="A60" s="7">
        <v>67</v>
      </c>
      <c r="B60" s="33" t="s">
        <v>206</v>
      </c>
      <c r="C60" s="28" t="s">
        <v>336</v>
      </c>
      <c r="D60" s="10" t="s">
        <v>201</v>
      </c>
      <c r="E60" s="27" t="s">
        <v>207</v>
      </c>
      <c r="F60" s="20" t="s">
        <v>203</v>
      </c>
      <c r="G60" s="50">
        <v>40000</v>
      </c>
      <c r="H60" s="34" t="s">
        <v>16</v>
      </c>
      <c r="I60" s="34" t="s">
        <v>23</v>
      </c>
      <c r="J60" s="32">
        <v>4.1870000000000003</v>
      </c>
      <c r="K60" s="66">
        <f t="shared" si="1"/>
        <v>167480</v>
      </c>
    </row>
    <row r="61" spans="1:11" ht="25.5" x14ac:dyDescent="0.25">
      <c r="A61" s="7">
        <v>68</v>
      </c>
      <c r="B61" s="46" t="s">
        <v>208</v>
      </c>
      <c r="C61" s="28" t="s">
        <v>337</v>
      </c>
      <c r="D61" s="10" t="s">
        <v>201</v>
      </c>
      <c r="E61" s="27" t="s">
        <v>194</v>
      </c>
      <c r="F61" s="20" t="s">
        <v>203</v>
      </c>
      <c r="G61" s="50">
        <v>144000</v>
      </c>
      <c r="H61" s="34" t="s">
        <v>16</v>
      </c>
      <c r="I61" s="34" t="s">
        <v>23</v>
      </c>
      <c r="J61" s="32">
        <v>1.1870000000000001</v>
      </c>
      <c r="K61" s="66">
        <f t="shared" si="1"/>
        <v>170928</v>
      </c>
    </row>
    <row r="62" spans="1:11" ht="25.5" x14ac:dyDescent="0.25">
      <c r="A62" s="7">
        <v>69</v>
      </c>
      <c r="B62" s="46" t="s">
        <v>209</v>
      </c>
      <c r="C62" s="33" t="s">
        <v>210</v>
      </c>
      <c r="D62" s="10" t="s">
        <v>35</v>
      </c>
      <c r="E62" s="10" t="s">
        <v>202</v>
      </c>
      <c r="F62" s="20" t="s">
        <v>203</v>
      </c>
      <c r="G62" s="50">
        <v>99200</v>
      </c>
      <c r="H62" s="34" t="s">
        <v>16</v>
      </c>
      <c r="I62" s="34" t="s">
        <v>23</v>
      </c>
      <c r="J62" s="32">
        <v>0.70199999999999996</v>
      </c>
      <c r="K62" s="66">
        <f t="shared" si="1"/>
        <v>69638.399999999994</v>
      </c>
    </row>
    <row r="63" spans="1:11" x14ac:dyDescent="0.25">
      <c r="A63" s="7">
        <v>70</v>
      </c>
      <c r="B63" s="46" t="s">
        <v>211</v>
      </c>
      <c r="C63" s="28" t="s">
        <v>212</v>
      </c>
      <c r="D63" s="10" t="s">
        <v>13</v>
      </c>
      <c r="E63" s="10" t="s">
        <v>76</v>
      </c>
      <c r="F63" s="10" t="s">
        <v>198</v>
      </c>
      <c r="G63" s="50">
        <v>98280</v>
      </c>
      <c r="H63" s="34" t="s">
        <v>16</v>
      </c>
      <c r="I63" s="15" t="s">
        <v>23</v>
      </c>
      <c r="J63" s="32">
        <v>0.59819999999999995</v>
      </c>
      <c r="K63" s="66">
        <f t="shared" si="1"/>
        <v>58791.095999999998</v>
      </c>
    </row>
    <row r="64" spans="1:11" x14ac:dyDescent="0.25">
      <c r="A64" s="12">
        <v>71</v>
      </c>
      <c r="B64" s="20" t="s">
        <v>216</v>
      </c>
      <c r="C64" s="20" t="s">
        <v>217</v>
      </c>
      <c r="D64" s="15" t="s">
        <v>201</v>
      </c>
      <c r="E64" s="15" t="s">
        <v>218</v>
      </c>
      <c r="F64" s="15" t="s">
        <v>219</v>
      </c>
      <c r="G64" s="54">
        <v>34000</v>
      </c>
      <c r="H64" s="34" t="s">
        <v>16</v>
      </c>
      <c r="I64" s="34" t="s">
        <v>23</v>
      </c>
      <c r="J64" s="32">
        <v>0.38119999999999998</v>
      </c>
      <c r="K64" s="66">
        <f t="shared" si="1"/>
        <v>12960.8</v>
      </c>
    </row>
    <row r="65" spans="1:11" x14ac:dyDescent="0.25">
      <c r="A65" s="7">
        <v>72</v>
      </c>
      <c r="B65" s="46" t="s">
        <v>220</v>
      </c>
      <c r="C65" s="28" t="s">
        <v>221</v>
      </c>
      <c r="D65" s="10" t="s">
        <v>35</v>
      </c>
      <c r="E65" s="10" t="s">
        <v>82</v>
      </c>
      <c r="F65" s="10" t="s">
        <v>63</v>
      </c>
      <c r="G65" s="50">
        <v>10520</v>
      </c>
      <c r="H65" s="34" t="s">
        <v>16</v>
      </c>
      <c r="I65" s="34" t="s">
        <v>23</v>
      </c>
      <c r="J65" s="32">
        <v>0.99129999999999996</v>
      </c>
      <c r="K65" s="66">
        <f t="shared" si="1"/>
        <v>10428.475999999999</v>
      </c>
    </row>
    <row r="66" spans="1:11" ht="38.25" x14ac:dyDescent="0.25">
      <c r="A66" s="7">
        <v>73</v>
      </c>
      <c r="B66" s="46" t="s">
        <v>224</v>
      </c>
      <c r="C66" s="28" t="s">
        <v>349</v>
      </c>
      <c r="D66" s="10" t="s">
        <v>201</v>
      </c>
      <c r="E66" s="10" t="s">
        <v>27</v>
      </c>
      <c r="F66" s="28" t="s">
        <v>226</v>
      </c>
      <c r="G66" s="50">
        <v>16040</v>
      </c>
      <c r="H66" s="34" t="s">
        <v>16</v>
      </c>
      <c r="I66" s="15" t="s">
        <v>23</v>
      </c>
      <c r="J66" s="32">
        <v>0.72009999999999996</v>
      </c>
      <c r="K66" s="66">
        <f t="shared" si="1"/>
        <v>11550.403999999999</v>
      </c>
    </row>
    <row r="67" spans="1:11" ht="38.25" x14ac:dyDescent="0.25">
      <c r="A67" s="7">
        <v>74</v>
      </c>
      <c r="B67" s="46" t="s">
        <v>227</v>
      </c>
      <c r="C67" s="28" t="s">
        <v>228</v>
      </c>
      <c r="D67" s="10" t="s">
        <v>201</v>
      </c>
      <c r="E67" s="10" t="s">
        <v>229</v>
      </c>
      <c r="F67" s="28" t="s">
        <v>226</v>
      </c>
      <c r="G67" s="50">
        <v>17200</v>
      </c>
      <c r="H67" s="34" t="s">
        <v>16</v>
      </c>
      <c r="I67" s="15" t="s">
        <v>23</v>
      </c>
      <c r="J67" s="32">
        <v>0.88200000000000001</v>
      </c>
      <c r="K67" s="66">
        <f t="shared" ref="K67:K78" si="2">+G67*J67</f>
        <v>15170.4</v>
      </c>
    </row>
    <row r="68" spans="1:11" ht="38.25" x14ac:dyDescent="0.25">
      <c r="A68" s="12">
        <v>75</v>
      </c>
      <c r="B68" s="20" t="s">
        <v>230</v>
      </c>
      <c r="C68" s="28" t="s">
        <v>339</v>
      </c>
      <c r="D68" s="15" t="s">
        <v>201</v>
      </c>
      <c r="E68" s="15" t="s">
        <v>27</v>
      </c>
      <c r="F68" s="28" t="s">
        <v>226</v>
      </c>
      <c r="G68" s="54">
        <v>39760</v>
      </c>
      <c r="H68" s="34" t="s">
        <v>16</v>
      </c>
      <c r="I68" s="34" t="s">
        <v>23</v>
      </c>
      <c r="J68" s="32">
        <v>0.73280000000000001</v>
      </c>
      <c r="K68" s="66">
        <f t="shared" si="2"/>
        <v>29136.128000000001</v>
      </c>
    </row>
    <row r="69" spans="1:11" ht="25.5" x14ac:dyDescent="0.25">
      <c r="A69" s="12">
        <v>76</v>
      </c>
      <c r="B69" s="20" t="s">
        <v>234</v>
      </c>
      <c r="C69" s="28" t="s">
        <v>235</v>
      </c>
      <c r="D69" s="15" t="s">
        <v>35</v>
      </c>
      <c r="E69" s="15" t="s">
        <v>115</v>
      </c>
      <c r="F69" s="15" t="s">
        <v>340</v>
      </c>
      <c r="G69" s="54">
        <v>28400</v>
      </c>
      <c r="H69" s="34" t="s">
        <v>16</v>
      </c>
      <c r="I69" s="15" t="s">
        <v>17</v>
      </c>
      <c r="J69" s="32">
        <v>3.9990000000000001</v>
      </c>
      <c r="K69" s="66">
        <f t="shared" si="2"/>
        <v>113571.6</v>
      </c>
    </row>
    <row r="70" spans="1:11" x14ac:dyDescent="0.25">
      <c r="A70" s="7">
        <v>77</v>
      </c>
      <c r="B70" s="46" t="s">
        <v>236</v>
      </c>
      <c r="C70" s="33" t="s">
        <v>237</v>
      </c>
      <c r="D70" s="10" t="s">
        <v>26</v>
      </c>
      <c r="E70" s="10" t="s">
        <v>82</v>
      </c>
      <c r="F70" s="28" t="s">
        <v>238</v>
      </c>
      <c r="G70" s="50">
        <v>31560</v>
      </c>
      <c r="H70" s="34" t="s">
        <v>16</v>
      </c>
      <c r="I70" s="34" t="s">
        <v>23</v>
      </c>
      <c r="J70" s="32">
        <v>0.98899999999999999</v>
      </c>
      <c r="K70" s="66">
        <f t="shared" si="2"/>
        <v>31212.84</v>
      </c>
    </row>
    <row r="71" spans="1:11" ht="25.5" x14ac:dyDescent="0.25">
      <c r="A71" s="7">
        <v>78</v>
      </c>
      <c r="B71" s="46" t="s">
        <v>239</v>
      </c>
      <c r="C71" s="28" t="s">
        <v>240</v>
      </c>
      <c r="D71" s="10" t="s">
        <v>201</v>
      </c>
      <c r="E71" s="27" t="s">
        <v>14</v>
      </c>
      <c r="F71" s="10" t="s">
        <v>43</v>
      </c>
      <c r="G71" s="50">
        <v>12680</v>
      </c>
      <c r="H71" s="34" t="s">
        <v>16</v>
      </c>
      <c r="I71" s="15" t="s">
        <v>23</v>
      </c>
      <c r="J71" s="32">
        <v>0.8629</v>
      </c>
      <c r="K71" s="66">
        <f t="shared" si="2"/>
        <v>10941.572</v>
      </c>
    </row>
    <row r="72" spans="1:11" x14ac:dyDescent="0.25">
      <c r="A72" s="7">
        <v>79</v>
      </c>
      <c r="B72" s="46" t="s">
        <v>241</v>
      </c>
      <c r="C72" s="20" t="s">
        <v>242</v>
      </c>
      <c r="D72" s="10" t="s">
        <v>35</v>
      </c>
      <c r="E72" s="10" t="s">
        <v>82</v>
      </c>
      <c r="F72" s="33"/>
      <c r="G72" s="50">
        <v>29960</v>
      </c>
      <c r="H72" s="34" t="s">
        <v>16</v>
      </c>
      <c r="I72" s="15" t="s">
        <v>23</v>
      </c>
      <c r="J72" s="32">
        <v>10.5791</v>
      </c>
      <c r="K72" s="66">
        <f t="shared" si="2"/>
        <v>316949.83600000001</v>
      </c>
    </row>
    <row r="73" spans="1:11" x14ac:dyDescent="0.25">
      <c r="A73" s="7">
        <v>80</v>
      </c>
      <c r="B73" s="46" t="s">
        <v>243</v>
      </c>
      <c r="C73" s="28" t="s">
        <v>244</v>
      </c>
      <c r="D73" s="10" t="s">
        <v>13</v>
      </c>
      <c r="E73" s="10" t="s">
        <v>27</v>
      </c>
      <c r="F73" s="33"/>
      <c r="G73" s="50">
        <v>30400</v>
      </c>
      <c r="H73" s="34" t="s">
        <v>16</v>
      </c>
      <c r="I73" s="15" t="s">
        <v>23</v>
      </c>
      <c r="J73" s="32">
        <v>1.5980000000000001</v>
      </c>
      <c r="K73" s="66">
        <f t="shared" si="2"/>
        <v>48579.200000000004</v>
      </c>
    </row>
    <row r="74" spans="1:11" ht="38.25" x14ac:dyDescent="0.25">
      <c r="A74" s="12">
        <v>81</v>
      </c>
      <c r="B74" s="20" t="s">
        <v>249</v>
      </c>
      <c r="C74" s="28" t="s">
        <v>350</v>
      </c>
      <c r="D74" s="15" t="s">
        <v>201</v>
      </c>
      <c r="E74" s="29" t="s">
        <v>251</v>
      </c>
      <c r="F74" s="28"/>
      <c r="G74" s="54">
        <v>25360</v>
      </c>
      <c r="H74" s="34" t="s">
        <v>16</v>
      </c>
      <c r="I74" s="34" t="s">
        <v>23</v>
      </c>
      <c r="J74" s="32">
        <v>3.9912000000000001</v>
      </c>
      <c r="K74" s="66">
        <f t="shared" si="2"/>
        <v>101216.83199999999</v>
      </c>
    </row>
    <row r="75" spans="1:11" ht="25.5" x14ac:dyDescent="0.25">
      <c r="A75" s="7">
        <v>82</v>
      </c>
      <c r="B75" s="33" t="s">
        <v>252</v>
      </c>
      <c r="C75" s="28" t="s">
        <v>341</v>
      </c>
      <c r="D75" s="10" t="s">
        <v>201</v>
      </c>
      <c r="E75" s="27" t="s">
        <v>207</v>
      </c>
      <c r="F75" s="33"/>
      <c r="G75" s="50">
        <v>52400</v>
      </c>
      <c r="H75" s="34" t="s">
        <v>16</v>
      </c>
      <c r="I75" s="34" t="s">
        <v>23</v>
      </c>
      <c r="J75" s="32">
        <v>0.996</v>
      </c>
      <c r="K75" s="66">
        <f t="shared" si="2"/>
        <v>52190.400000000001</v>
      </c>
    </row>
    <row r="76" spans="1:11" x14ac:dyDescent="0.25">
      <c r="A76" s="7">
        <v>83</v>
      </c>
      <c r="B76" s="46" t="s">
        <v>253</v>
      </c>
      <c r="C76" s="28" t="s">
        <v>254</v>
      </c>
      <c r="D76" s="10" t="s">
        <v>13</v>
      </c>
      <c r="E76" s="27" t="s">
        <v>255</v>
      </c>
      <c r="F76" s="10" t="s">
        <v>22</v>
      </c>
      <c r="G76" s="50">
        <v>66560</v>
      </c>
      <c r="H76" s="34" t="s">
        <v>16</v>
      </c>
      <c r="I76" s="34" t="s">
        <v>23</v>
      </c>
      <c r="J76" s="32">
        <v>0.13689999999999999</v>
      </c>
      <c r="K76" s="66">
        <f t="shared" si="2"/>
        <v>9112.0640000000003</v>
      </c>
    </row>
    <row r="77" spans="1:11" ht="25.5" x14ac:dyDescent="0.25">
      <c r="A77" s="7">
        <v>84</v>
      </c>
      <c r="B77" s="33" t="s">
        <v>259</v>
      </c>
      <c r="C77" s="28" t="s">
        <v>260</v>
      </c>
      <c r="D77" s="10" t="s">
        <v>257</v>
      </c>
      <c r="E77" s="27" t="s">
        <v>261</v>
      </c>
      <c r="F77" s="10" t="s">
        <v>258</v>
      </c>
      <c r="G77" s="50">
        <v>21400</v>
      </c>
      <c r="H77" s="34" t="s">
        <v>16</v>
      </c>
      <c r="I77" s="34" t="s">
        <v>23</v>
      </c>
      <c r="J77" s="65">
        <v>0.85199999999999998</v>
      </c>
      <c r="K77" s="66">
        <f t="shared" si="2"/>
        <v>18232.8</v>
      </c>
    </row>
    <row r="78" spans="1:11" ht="38.25" x14ac:dyDescent="0.25">
      <c r="A78" s="7">
        <v>85</v>
      </c>
      <c r="B78" s="46" t="s">
        <v>262</v>
      </c>
      <c r="C78" s="46" t="s">
        <v>263</v>
      </c>
      <c r="D78" s="10" t="s">
        <v>13</v>
      </c>
      <c r="E78" s="27" t="s">
        <v>73</v>
      </c>
      <c r="F78" s="15" t="s">
        <v>343</v>
      </c>
      <c r="G78" s="50">
        <v>10360</v>
      </c>
      <c r="H78" s="34" t="s">
        <v>16</v>
      </c>
      <c r="I78" s="15" t="s">
        <v>17</v>
      </c>
      <c r="J78" s="32">
        <v>0.53490000000000004</v>
      </c>
      <c r="K78" s="66">
        <f t="shared" si="2"/>
        <v>5541.5640000000003</v>
      </c>
    </row>
    <row r="79" spans="1:11" x14ac:dyDescent="0.25">
      <c r="A79" s="81"/>
      <c r="B79" s="98" t="s">
        <v>330</v>
      </c>
      <c r="C79" s="98"/>
      <c r="D79" s="98"/>
      <c r="E79" s="98"/>
      <c r="F79" s="98"/>
      <c r="G79" s="98"/>
      <c r="H79" s="98"/>
      <c r="I79" s="98"/>
      <c r="J79" s="98"/>
      <c r="K79" s="76">
        <f>SUM(K3:K78)</f>
        <v>5088975.1919999998</v>
      </c>
    </row>
    <row r="80" spans="1:11" x14ac:dyDescent="0.25">
      <c r="A80" s="81"/>
      <c r="B80" s="38"/>
      <c r="C80" s="82"/>
      <c r="D80" s="82"/>
      <c r="E80" s="82"/>
      <c r="F80" s="82"/>
      <c r="G80" s="84"/>
      <c r="J80" s="85"/>
      <c r="K80" s="75"/>
    </row>
    <row r="81" spans="1:9" x14ac:dyDescent="0.25">
      <c r="A81" s="95" t="s">
        <v>327</v>
      </c>
      <c r="B81" s="95"/>
      <c r="C81" s="95"/>
      <c r="D81" s="95"/>
      <c r="E81" s="95"/>
      <c r="F81" s="95"/>
      <c r="G81" s="95"/>
      <c r="H81" s="95"/>
      <c r="I81" s="95"/>
    </row>
  </sheetData>
  <mergeCells count="2">
    <mergeCell ref="A81:I81"/>
    <mergeCell ref="B79:J79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Zona Centro do Pais </vt:lpstr>
      <vt:lpstr>Zona Centro Injectaveis Pais </vt:lpstr>
      <vt:lpstr>Zona Norte do Pais Medicamentos</vt:lpstr>
      <vt:lpstr>Zona Norte do Pais Injectavel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Noe Santos Macuacua</cp:lastModifiedBy>
  <cp:lastPrinted>2024-07-19T02:55:29Z</cp:lastPrinted>
  <dcterms:created xsi:type="dcterms:W3CDTF">2024-07-19T00:02:49Z</dcterms:created>
  <dcterms:modified xsi:type="dcterms:W3CDTF">2025-05-25T16:10:09Z</dcterms:modified>
</cp:coreProperties>
</file>